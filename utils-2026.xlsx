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Этот-ПК\Desktop\"/>
    </mc:Choice>
  </mc:AlternateContent>
  <xr:revisionPtr revIDLastSave="0" documentId="13_ncr:1_{EC14DC34-7E25-4FC5-ADC8-E2959DE080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Утильсбор" sheetId="1" r:id="rId1"/>
  </sheets>
  <calcPr calcId="191029"/>
</workbook>
</file>

<file path=xl/calcChain.xml><?xml version="1.0" encoding="utf-8"?>
<calcChain xmlns="http://schemas.openxmlformats.org/spreadsheetml/2006/main">
  <c r="U81" i="1" l="1"/>
  <c r="S81" i="1"/>
  <c r="Q81" i="1"/>
  <c r="O81" i="1"/>
  <c r="U80" i="1"/>
  <c r="S80" i="1"/>
  <c r="Q80" i="1"/>
  <c r="O80" i="1"/>
  <c r="U79" i="1"/>
  <c r="S79" i="1"/>
  <c r="Q79" i="1"/>
  <c r="O79" i="1"/>
  <c r="U78" i="1"/>
  <c r="S78" i="1"/>
  <c r="Q78" i="1"/>
  <c r="O78" i="1"/>
  <c r="U77" i="1"/>
  <c r="S77" i="1"/>
  <c r="U76" i="1"/>
  <c r="S76" i="1"/>
  <c r="U75" i="1"/>
  <c r="S75" i="1"/>
  <c r="U74" i="1"/>
  <c r="S74" i="1"/>
  <c r="U73" i="1"/>
  <c r="S73" i="1"/>
  <c r="U72" i="1"/>
  <c r="S72" i="1"/>
  <c r="U71" i="1"/>
  <c r="S71" i="1"/>
  <c r="U70" i="1"/>
  <c r="S70" i="1"/>
  <c r="U69" i="1"/>
  <c r="S69" i="1"/>
  <c r="U68" i="1"/>
  <c r="S68" i="1"/>
  <c r="U67" i="1"/>
  <c r="S67" i="1"/>
  <c r="U66" i="1"/>
  <c r="S66" i="1"/>
  <c r="U64" i="1"/>
  <c r="S64" i="1"/>
  <c r="Q64" i="1"/>
  <c r="O64" i="1"/>
  <c r="U63" i="1"/>
  <c r="S63" i="1"/>
  <c r="Q63" i="1"/>
  <c r="O63" i="1"/>
  <c r="U62" i="1"/>
  <c r="S62" i="1"/>
  <c r="Q62" i="1"/>
  <c r="O62" i="1"/>
  <c r="U61" i="1"/>
  <c r="S61" i="1"/>
  <c r="Q61" i="1"/>
  <c r="O61" i="1"/>
  <c r="U60" i="1"/>
  <c r="S60" i="1"/>
  <c r="U59" i="1"/>
  <c r="S59" i="1"/>
  <c r="U58" i="1"/>
  <c r="S58" i="1"/>
  <c r="U57" i="1"/>
  <c r="S57" i="1"/>
  <c r="U56" i="1"/>
  <c r="S56" i="1"/>
  <c r="U55" i="1"/>
  <c r="S55" i="1"/>
  <c r="U54" i="1"/>
  <c r="S54" i="1"/>
  <c r="U53" i="1"/>
  <c r="S53" i="1"/>
  <c r="U52" i="1"/>
  <c r="S52" i="1"/>
  <c r="U51" i="1"/>
  <c r="S51" i="1"/>
  <c r="U50" i="1"/>
  <c r="S50" i="1"/>
  <c r="U49" i="1"/>
  <c r="S49" i="1"/>
  <c r="U47" i="1"/>
  <c r="S47" i="1"/>
  <c r="Q47" i="1"/>
  <c r="O47" i="1"/>
  <c r="U46" i="1"/>
  <c r="S46" i="1"/>
  <c r="Q46" i="1"/>
  <c r="O46" i="1"/>
  <c r="U45" i="1"/>
  <c r="S45" i="1"/>
  <c r="Q45" i="1"/>
  <c r="O45" i="1"/>
  <c r="U44" i="1"/>
  <c r="S44" i="1"/>
  <c r="Q44" i="1"/>
  <c r="O44" i="1"/>
  <c r="U43" i="1"/>
  <c r="S43" i="1"/>
  <c r="U42" i="1"/>
  <c r="S42" i="1"/>
  <c r="U41" i="1"/>
  <c r="S41" i="1"/>
  <c r="J41" i="1"/>
  <c r="H41" i="1"/>
  <c r="F41" i="1"/>
  <c r="D41" i="1"/>
  <c r="U40" i="1"/>
  <c r="S40" i="1"/>
  <c r="J40" i="1"/>
  <c r="H40" i="1"/>
  <c r="F40" i="1"/>
  <c r="D40" i="1"/>
  <c r="U39" i="1"/>
  <c r="S39" i="1"/>
  <c r="J39" i="1"/>
  <c r="H39" i="1"/>
  <c r="F39" i="1"/>
  <c r="D39" i="1"/>
  <c r="U38" i="1"/>
  <c r="S38" i="1"/>
  <c r="J38" i="1"/>
  <c r="H38" i="1"/>
  <c r="F38" i="1"/>
  <c r="D38" i="1"/>
  <c r="U37" i="1"/>
  <c r="S37" i="1"/>
  <c r="J37" i="1"/>
  <c r="H37" i="1"/>
  <c r="U36" i="1"/>
  <c r="S36" i="1"/>
  <c r="J36" i="1"/>
  <c r="H36" i="1"/>
  <c r="U35" i="1"/>
  <c r="S35" i="1"/>
  <c r="J35" i="1"/>
  <c r="H35" i="1"/>
  <c r="U34" i="1"/>
  <c r="S34" i="1"/>
  <c r="J34" i="1"/>
  <c r="H34" i="1"/>
  <c r="U33" i="1"/>
  <c r="S33" i="1"/>
  <c r="J33" i="1"/>
  <c r="H33" i="1"/>
  <c r="U32" i="1"/>
  <c r="S32" i="1"/>
  <c r="J32" i="1"/>
  <c r="H32" i="1"/>
  <c r="J31" i="1"/>
  <c r="H31" i="1"/>
  <c r="U30" i="1"/>
  <c r="S30" i="1"/>
  <c r="Q30" i="1"/>
  <c r="O30" i="1"/>
  <c r="J30" i="1"/>
  <c r="H30" i="1"/>
  <c r="U29" i="1"/>
  <c r="S29" i="1"/>
  <c r="Q29" i="1"/>
  <c r="O29" i="1"/>
  <c r="J29" i="1"/>
  <c r="U28" i="1"/>
  <c r="S28" i="1"/>
  <c r="Q28" i="1"/>
  <c r="O28" i="1"/>
  <c r="U27" i="1"/>
  <c r="S27" i="1"/>
  <c r="Q27" i="1"/>
  <c r="O27" i="1"/>
  <c r="J27" i="1"/>
  <c r="H27" i="1"/>
  <c r="F27" i="1"/>
  <c r="D27" i="1"/>
  <c r="U26" i="1"/>
  <c r="S26" i="1"/>
  <c r="J26" i="1"/>
  <c r="H26" i="1"/>
  <c r="F26" i="1"/>
  <c r="D26" i="1"/>
  <c r="U25" i="1"/>
  <c r="S25" i="1"/>
  <c r="J25" i="1"/>
  <c r="H25" i="1"/>
  <c r="F25" i="1"/>
  <c r="D25" i="1"/>
  <c r="U24" i="1"/>
  <c r="S24" i="1"/>
  <c r="J24" i="1"/>
  <c r="H24" i="1"/>
  <c r="F24" i="1"/>
  <c r="D24" i="1"/>
  <c r="U23" i="1"/>
  <c r="S23" i="1"/>
  <c r="J23" i="1"/>
  <c r="H23" i="1"/>
  <c r="U22" i="1"/>
  <c r="S22" i="1"/>
  <c r="J22" i="1"/>
  <c r="H22" i="1"/>
  <c r="U21" i="1"/>
  <c r="S21" i="1"/>
  <c r="J21" i="1"/>
  <c r="H21" i="1"/>
  <c r="U20" i="1"/>
  <c r="S20" i="1"/>
  <c r="J20" i="1"/>
  <c r="H20" i="1"/>
  <c r="U19" i="1"/>
  <c r="S19" i="1"/>
  <c r="J19" i="1"/>
  <c r="H19" i="1"/>
  <c r="U18" i="1"/>
  <c r="S18" i="1"/>
  <c r="J18" i="1"/>
  <c r="H18" i="1"/>
  <c r="U17" i="1"/>
  <c r="S17" i="1"/>
  <c r="J17" i="1"/>
  <c r="H17" i="1"/>
  <c r="U16" i="1"/>
  <c r="S16" i="1"/>
  <c r="J16" i="1"/>
  <c r="H16" i="1"/>
  <c r="U15" i="1"/>
  <c r="S15" i="1"/>
  <c r="J15" i="1"/>
  <c r="U13" i="1"/>
  <c r="S13" i="1"/>
  <c r="J13" i="1"/>
  <c r="H13" i="1"/>
  <c r="U12" i="1"/>
  <c r="S12" i="1"/>
  <c r="J12" i="1"/>
  <c r="H12" i="1"/>
  <c r="U11" i="1"/>
  <c r="S11" i="1"/>
  <c r="J11" i="1"/>
  <c r="H11" i="1"/>
  <c r="U10" i="1"/>
  <c r="S10" i="1"/>
  <c r="J10" i="1"/>
  <c r="H10" i="1"/>
  <c r="U9" i="1"/>
  <c r="S9" i="1"/>
  <c r="J9" i="1"/>
  <c r="H9" i="1"/>
  <c r="U8" i="1"/>
  <c r="S8" i="1"/>
  <c r="J8" i="1"/>
  <c r="H8" i="1"/>
  <c r="U7" i="1"/>
  <c r="S7" i="1"/>
  <c r="J7" i="1"/>
  <c r="H7" i="1"/>
  <c r="U6" i="1"/>
  <c r="S6" i="1"/>
  <c r="J6" i="1"/>
  <c r="H6" i="1"/>
  <c r="U5" i="1"/>
  <c r="J5" i="1"/>
</calcChain>
</file>

<file path=xl/sharedStrings.xml><?xml version="1.0" encoding="utf-8"?>
<sst xmlns="http://schemas.openxmlformats.org/spreadsheetml/2006/main" count="251" uniqueCount="61">
  <si>
    <t>Для личного пользования</t>
  </si>
  <si>
    <t>Для юридических лиц</t>
  </si>
  <si>
    <t>кВт</t>
  </si>
  <si>
    <t>ЛС</t>
  </si>
  <si>
    <t>С 1 дек. по 1 янв.</t>
  </si>
  <si>
    <t>С 1 января 2026 года</t>
  </si>
  <si>
    <t>Ставка</t>
  </si>
  <si>
    <t>0-3 лет</t>
  </si>
  <si>
    <t>3-5 лет</t>
  </si>
  <si>
    <t>Электрички и последовательные гибриды</t>
  </si>
  <si>
    <t>0-58,85</t>
  </si>
  <si>
    <t>до 80</t>
  </si>
  <si>
    <t>58,85-73,55</t>
  </si>
  <si>
    <t>80-100</t>
  </si>
  <si>
    <t>73,56-95,61</t>
  </si>
  <si>
    <t>100-130</t>
  </si>
  <si>
    <t>95,62-117,68</t>
  </si>
  <si>
    <t>130-160</t>
  </si>
  <si>
    <t>117,69-139,75</t>
  </si>
  <si>
    <t>160-190</t>
  </si>
  <si>
    <t>139,76-161,81</t>
  </si>
  <si>
    <t>190-220</t>
  </si>
  <si>
    <t>161,82-183,88</t>
  </si>
  <si>
    <t>220-250</t>
  </si>
  <si>
    <t>183,89-205,94</t>
  </si>
  <si>
    <t>250-280</t>
  </si>
  <si>
    <t>205,95 и выше</t>
  </si>
  <si>
    <t>от 280</t>
  </si>
  <si>
    <t>Обьем 1.0 - 2.0</t>
  </si>
  <si>
    <t>до 117,68</t>
  </si>
  <si>
    <t>до 160</t>
  </si>
  <si>
    <t>до 51,48</t>
  </si>
  <si>
    <t>до 70</t>
  </si>
  <si>
    <t>117,68-139,75</t>
  </si>
  <si>
    <t>51,48-73,55</t>
  </si>
  <si>
    <t>70-100</t>
  </si>
  <si>
    <t>139,75-161,81</t>
  </si>
  <si>
    <t>73,55-95,61</t>
  </si>
  <si>
    <t>161,81-183,88</t>
  </si>
  <si>
    <t>95,61-117,68</t>
  </si>
  <si>
    <t>183,88-205,94</t>
  </si>
  <si>
    <t>205,94-228</t>
  </si>
  <si>
    <t>280-310</t>
  </si>
  <si>
    <t>228-250</t>
  </si>
  <si>
    <t>310-340</t>
  </si>
  <si>
    <t>250-272,13</t>
  </si>
  <si>
    <t>340-370</t>
  </si>
  <si>
    <t>272,13-294,2</t>
  </si>
  <si>
    <t>370-400</t>
  </si>
  <si>
    <t>294,21-316,26</t>
  </si>
  <si>
    <t>400-430</t>
  </si>
  <si>
    <t>316,27-338,33</t>
  </si>
  <si>
    <t>430-460</t>
  </si>
  <si>
    <t>338,34 - 367,75</t>
  </si>
  <si>
    <t>460-500</t>
  </si>
  <si>
    <t>более 367,76</t>
  </si>
  <si>
    <t>более 500</t>
  </si>
  <si>
    <t>Обьем 2.0 - 3.0</t>
  </si>
  <si>
    <t>Более 3.0 литров - обязательный коммерческий утильсбор, мощность значение не имеет!</t>
  </si>
  <si>
    <t>Обьем 3.0 - 3.5</t>
  </si>
  <si>
    <t>Обьем 3.5 и выше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</si>
</sst>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5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3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4" xfId="0" applyFont="1" applyFill="1" applyBorder="1"/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left" vertical="center"/>
    </xf>
    <xf numFmtId="2" fontId="8" fillId="0" borderId="15" xfId="0" applyNumberFormat="1" applyFont="1" applyBorder="1" applyAlignment="1">
      <alignment horizontal="center" vertical="center"/>
    </xf>
    <xf numFmtId="0" fontId="0" fillId="0" borderId="0" xfId="0"/>
    <xf numFmtId="0" fontId="2" fillId="0" borderId="16" xfId="0" applyFont="1" applyBorder="1"/>
    <xf numFmtId="2" fontId="5" fillId="0" borderId="14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2" fontId="4" fillId="0" borderId="5" xfId="0" applyNumberFormat="1" applyFont="1" applyBorder="1" applyAlignment="1">
      <alignment horizontal="center" vertical="center"/>
    </xf>
    <xf numFmtId="0" fontId="2" fillId="0" borderId="9" xfId="0" applyFont="1" applyBorder="1"/>
    <xf numFmtId="1" fontId="4" fillId="0" borderId="6" xfId="0" applyNumberFormat="1" applyFont="1" applyBorder="1" applyAlignment="1">
      <alignment horizontal="center" vertical="center"/>
    </xf>
    <xf numFmtId="0" fontId="2" fillId="0" borderId="10" xfId="0" applyFont="1" applyBorder="1"/>
    <xf numFmtId="2" fontId="5" fillId="0" borderId="15" xfId="0" applyNumberFormat="1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2" fontId="1" fillId="4" borderId="1" xfId="0" applyNumberFormat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2" max="3" width="8.42578125" customWidth="1"/>
    <col min="4" max="4" width="9.140625" bestFit="1" customWidth="1"/>
    <col min="5" max="5" width="8.42578125" customWidth="1"/>
    <col min="6" max="6" width="9.140625" bestFit="1" customWidth="1"/>
    <col min="7" max="7" width="8.42578125" customWidth="1"/>
    <col min="8" max="8" width="9.140625" bestFit="1" customWidth="1"/>
    <col min="9" max="9" width="8.42578125" customWidth="1"/>
    <col min="10" max="10" width="9.140625" bestFit="1" customWidth="1"/>
    <col min="11" max="11" width="6.42578125" customWidth="1"/>
    <col min="13" max="21" width="9.5703125" customWidth="1"/>
  </cols>
  <sheetData>
    <row r="1" spans="1:21" x14ac:dyDescent="0.2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  <c r="K1" s="1"/>
      <c r="L1" s="38" t="s">
        <v>1</v>
      </c>
      <c r="M1" s="36"/>
      <c r="N1" s="36"/>
      <c r="O1" s="36"/>
      <c r="P1" s="36"/>
      <c r="Q1" s="36"/>
      <c r="R1" s="36"/>
      <c r="S1" s="36"/>
      <c r="T1" s="36"/>
      <c r="U1" s="37"/>
    </row>
    <row r="2" spans="1:21" x14ac:dyDescent="0.2">
      <c r="A2" s="30" t="s">
        <v>2</v>
      </c>
      <c r="B2" s="32" t="s">
        <v>3</v>
      </c>
      <c r="C2" s="39" t="s">
        <v>4</v>
      </c>
      <c r="D2" s="28"/>
      <c r="E2" s="28"/>
      <c r="F2" s="29"/>
      <c r="G2" s="39" t="s">
        <v>5</v>
      </c>
      <c r="H2" s="28"/>
      <c r="I2" s="28"/>
      <c r="J2" s="29"/>
      <c r="K2" s="1"/>
      <c r="L2" s="30" t="s">
        <v>2</v>
      </c>
      <c r="M2" s="32" t="s">
        <v>3</v>
      </c>
      <c r="N2" s="39" t="s">
        <v>4</v>
      </c>
      <c r="O2" s="28"/>
      <c r="P2" s="28"/>
      <c r="Q2" s="29"/>
      <c r="R2" s="39" t="s">
        <v>5</v>
      </c>
      <c r="S2" s="28"/>
      <c r="T2" s="28"/>
      <c r="U2" s="29"/>
    </row>
    <row r="3" spans="1:21" x14ac:dyDescent="0.2">
      <c r="A3" s="31"/>
      <c r="B3" s="33"/>
      <c r="C3" s="2" t="s">
        <v>6</v>
      </c>
      <c r="D3" s="3" t="s">
        <v>7</v>
      </c>
      <c r="E3" s="4" t="s">
        <v>6</v>
      </c>
      <c r="F3" s="5" t="s">
        <v>8</v>
      </c>
      <c r="G3" s="2" t="s">
        <v>6</v>
      </c>
      <c r="H3" s="6" t="s">
        <v>7</v>
      </c>
      <c r="I3" s="4" t="s">
        <v>6</v>
      </c>
      <c r="J3" s="5" t="s">
        <v>8</v>
      </c>
      <c r="K3" s="1"/>
      <c r="L3" s="31"/>
      <c r="M3" s="33"/>
      <c r="N3" s="2" t="s">
        <v>6</v>
      </c>
      <c r="O3" s="3" t="s">
        <v>7</v>
      </c>
      <c r="P3" s="4" t="s">
        <v>6</v>
      </c>
      <c r="Q3" s="5" t="s">
        <v>8</v>
      </c>
      <c r="R3" s="2" t="s">
        <v>6</v>
      </c>
      <c r="S3" s="6" t="s">
        <v>7</v>
      </c>
      <c r="T3" s="4" t="s">
        <v>6</v>
      </c>
      <c r="U3" s="5" t="s">
        <v>8</v>
      </c>
    </row>
    <row r="4" spans="1:21" x14ac:dyDescent="0.2">
      <c r="A4" s="27" t="s">
        <v>9</v>
      </c>
      <c r="B4" s="28"/>
      <c r="C4" s="28"/>
      <c r="D4" s="28"/>
      <c r="E4" s="28"/>
      <c r="F4" s="28"/>
      <c r="G4" s="28"/>
      <c r="H4" s="28"/>
      <c r="I4" s="28"/>
      <c r="J4" s="29"/>
      <c r="K4" s="1"/>
      <c r="L4" s="34" t="s">
        <v>9</v>
      </c>
      <c r="M4" s="25"/>
      <c r="N4" s="25"/>
      <c r="O4" s="25"/>
      <c r="P4" s="25"/>
      <c r="Q4" s="25"/>
      <c r="R4" s="25"/>
      <c r="S4" s="25"/>
      <c r="T4" s="25"/>
      <c r="U4" s="26"/>
    </row>
    <row r="5" spans="1:21" x14ac:dyDescent="0.2">
      <c r="A5" s="7" t="s">
        <v>10</v>
      </c>
      <c r="B5" s="8" t="s">
        <v>11</v>
      </c>
      <c r="C5" s="9">
        <v>0.17</v>
      </c>
      <c r="D5" s="10">
        <v>3400</v>
      </c>
      <c r="E5" s="11">
        <v>0.26</v>
      </c>
      <c r="F5" s="12">
        <v>5200</v>
      </c>
      <c r="G5" s="9">
        <v>0.17</v>
      </c>
      <c r="H5" s="13">
        <v>3400</v>
      </c>
      <c r="I5" s="11">
        <v>0.26</v>
      </c>
      <c r="J5" s="12">
        <f t="shared" ref="J5:J13" si="0">I5*20000</f>
        <v>5200</v>
      </c>
      <c r="K5" s="1"/>
      <c r="L5" s="7" t="s">
        <v>10</v>
      </c>
      <c r="M5" s="8" t="s">
        <v>11</v>
      </c>
      <c r="N5" s="9">
        <v>33.369999999999997</v>
      </c>
      <c r="O5" s="10">
        <v>667400</v>
      </c>
      <c r="P5" s="11">
        <v>58.7</v>
      </c>
      <c r="Q5" s="12">
        <v>1174000</v>
      </c>
      <c r="R5" s="9">
        <v>40.04</v>
      </c>
      <c r="S5" s="13">
        <v>800800</v>
      </c>
      <c r="T5" s="11">
        <v>70.44</v>
      </c>
      <c r="U5" s="12">
        <f t="shared" ref="U5:U13" si="1">T5*20000</f>
        <v>1408800</v>
      </c>
    </row>
    <row r="6" spans="1:21" x14ac:dyDescent="0.2">
      <c r="A6" s="7" t="s">
        <v>12</v>
      </c>
      <c r="B6" s="8" t="s">
        <v>13</v>
      </c>
      <c r="C6" s="9">
        <v>41.3</v>
      </c>
      <c r="D6" s="10">
        <v>826000</v>
      </c>
      <c r="E6" s="11">
        <v>68.400000000000006</v>
      </c>
      <c r="F6" s="12">
        <v>1368000</v>
      </c>
      <c r="G6" s="9">
        <v>49.56</v>
      </c>
      <c r="H6" s="13">
        <f t="shared" ref="H6:H13" si="2">G6*20000</f>
        <v>991200</v>
      </c>
      <c r="I6" s="11">
        <v>82.08</v>
      </c>
      <c r="J6" s="12">
        <f t="shared" si="0"/>
        <v>1641600</v>
      </c>
      <c r="K6" s="1"/>
      <c r="L6" s="7" t="s">
        <v>12</v>
      </c>
      <c r="M6" s="8" t="s">
        <v>13</v>
      </c>
      <c r="N6" s="9">
        <v>41.3</v>
      </c>
      <c r="O6" s="10">
        <v>826000</v>
      </c>
      <c r="P6" s="11">
        <v>68.400000000000006</v>
      </c>
      <c r="Q6" s="12">
        <v>1368000</v>
      </c>
      <c r="R6" s="9">
        <v>49.56</v>
      </c>
      <c r="S6" s="13">
        <f t="shared" ref="S6:S13" si="3">R6*20000</f>
        <v>991200</v>
      </c>
      <c r="T6" s="11">
        <v>82.08</v>
      </c>
      <c r="U6" s="12">
        <f t="shared" si="1"/>
        <v>1641600</v>
      </c>
    </row>
    <row r="7" spans="1:21" x14ac:dyDescent="0.2">
      <c r="A7" s="7" t="s">
        <v>14</v>
      </c>
      <c r="B7" s="8" t="s">
        <v>15</v>
      </c>
      <c r="C7" s="9">
        <v>54.9</v>
      </c>
      <c r="D7" s="10">
        <v>1098000</v>
      </c>
      <c r="E7" s="11">
        <v>79.7</v>
      </c>
      <c r="F7" s="12">
        <v>1594000</v>
      </c>
      <c r="G7" s="9">
        <v>65.88</v>
      </c>
      <c r="H7" s="13">
        <f t="shared" si="2"/>
        <v>1317600</v>
      </c>
      <c r="I7" s="11">
        <v>95.64</v>
      </c>
      <c r="J7" s="12">
        <f t="shared" si="0"/>
        <v>1912800</v>
      </c>
      <c r="K7" s="1"/>
      <c r="L7" s="7" t="s">
        <v>14</v>
      </c>
      <c r="M7" s="8" t="s">
        <v>15</v>
      </c>
      <c r="N7" s="9">
        <v>54.9</v>
      </c>
      <c r="O7" s="10">
        <v>1098000</v>
      </c>
      <c r="P7" s="11">
        <v>79.7</v>
      </c>
      <c r="Q7" s="12">
        <v>1594000</v>
      </c>
      <c r="R7" s="9">
        <v>65.88</v>
      </c>
      <c r="S7" s="13">
        <f t="shared" si="3"/>
        <v>1317600</v>
      </c>
      <c r="T7" s="11">
        <v>95.64</v>
      </c>
      <c r="U7" s="12">
        <f t="shared" si="1"/>
        <v>1912800</v>
      </c>
    </row>
    <row r="8" spans="1:21" x14ac:dyDescent="0.2">
      <c r="A8" s="7" t="s">
        <v>16</v>
      </c>
      <c r="B8" s="8" t="s">
        <v>17</v>
      </c>
      <c r="C8" s="9">
        <v>65</v>
      </c>
      <c r="D8" s="10">
        <v>1300000</v>
      </c>
      <c r="E8" s="11">
        <v>92.8</v>
      </c>
      <c r="F8" s="12">
        <v>1856000</v>
      </c>
      <c r="G8" s="9">
        <v>78</v>
      </c>
      <c r="H8" s="13">
        <f t="shared" si="2"/>
        <v>1560000</v>
      </c>
      <c r="I8" s="11">
        <v>111.36</v>
      </c>
      <c r="J8" s="12">
        <f t="shared" si="0"/>
        <v>2227200</v>
      </c>
      <c r="K8" s="1"/>
      <c r="L8" s="7" t="s">
        <v>16</v>
      </c>
      <c r="M8" s="8" t="s">
        <v>17</v>
      </c>
      <c r="N8" s="9">
        <v>65</v>
      </c>
      <c r="O8" s="10">
        <v>1300000</v>
      </c>
      <c r="P8" s="11">
        <v>92.8</v>
      </c>
      <c r="Q8" s="12">
        <v>1856000</v>
      </c>
      <c r="R8" s="9">
        <v>78</v>
      </c>
      <c r="S8" s="13">
        <f t="shared" si="3"/>
        <v>1560000</v>
      </c>
      <c r="T8" s="11">
        <v>111.36</v>
      </c>
      <c r="U8" s="12">
        <f t="shared" si="1"/>
        <v>2227200</v>
      </c>
    </row>
    <row r="9" spans="1:21" x14ac:dyDescent="0.2">
      <c r="A9" s="7" t="s">
        <v>18</v>
      </c>
      <c r="B9" s="8" t="s">
        <v>19</v>
      </c>
      <c r="C9" s="9">
        <v>77</v>
      </c>
      <c r="D9" s="10">
        <v>1540000</v>
      </c>
      <c r="E9" s="11">
        <v>108.1</v>
      </c>
      <c r="F9" s="12">
        <v>2162000</v>
      </c>
      <c r="G9" s="9">
        <v>92.4</v>
      </c>
      <c r="H9" s="13">
        <f t="shared" si="2"/>
        <v>1848000</v>
      </c>
      <c r="I9" s="11">
        <v>129.72</v>
      </c>
      <c r="J9" s="12">
        <f t="shared" si="0"/>
        <v>2594400</v>
      </c>
      <c r="K9" s="1"/>
      <c r="L9" s="7" t="s">
        <v>18</v>
      </c>
      <c r="M9" s="8" t="s">
        <v>19</v>
      </c>
      <c r="N9" s="9">
        <v>77</v>
      </c>
      <c r="O9" s="10">
        <v>1540000</v>
      </c>
      <c r="P9" s="11">
        <v>108.1</v>
      </c>
      <c r="Q9" s="12">
        <v>2162000</v>
      </c>
      <c r="R9" s="9">
        <v>92.4</v>
      </c>
      <c r="S9" s="13">
        <f t="shared" si="3"/>
        <v>1848000</v>
      </c>
      <c r="T9" s="11">
        <v>129.72</v>
      </c>
      <c r="U9" s="12">
        <f t="shared" si="1"/>
        <v>2594400</v>
      </c>
    </row>
    <row r="10" spans="1:21" x14ac:dyDescent="0.2">
      <c r="A10" s="7" t="s">
        <v>20</v>
      </c>
      <c r="B10" s="8" t="s">
        <v>21</v>
      </c>
      <c r="C10" s="9">
        <v>91.4</v>
      </c>
      <c r="D10" s="10">
        <v>1828000</v>
      </c>
      <c r="E10" s="11">
        <v>126</v>
      </c>
      <c r="F10" s="12">
        <v>2520000</v>
      </c>
      <c r="G10" s="9">
        <v>109.68</v>
      </c>
      <c r="H10" s="13">
        <f t="shared" si="2"/>
        <v>2193600</v>
      </c>
      <c r="I10" s="11">
        <v>151.19999999999999</v>
      </c>
      <c r="J10" s="12">
        <f t="shared" si="0"/>
        <v>3024000</v>
      </c>
      <c r="K10" s="1"/>
      <c r="L10" s="7" t="s">
        <v>20</v>
      </c>
      <c r="M10" s="8" t="s">
        <v>21</v>
      </c>
      <c r="N10" s="9">
        <v>91.4</v>
      </c>
      <c r="O10" s="10">
        <v>1828000</v>
      </c>
      <c r="P10" s="11">
        <v>126</v>
      </c>
      <c r="Q10" s="12">
        <v>2520000</v>
      </c>
      <c r="R10" s="9">
        <v>109.68</v>
      </c>
      <c r="S10" s="13">
        <f t="shared" si="3"/>
        <v>2193600</v>
      </c>
      <c r="T10" s="11">
        <v>151.19999999999999</v>
      </c>
      <c r="U10" s="12">
        <f t="shared" si="1"/>
        <v>3024000</v>
      </c>
    </row>
    <row r="11" spans="1:21" x14ac:dyDescent="0.2">
      <c r="A11" s="7" t="s">
        <v>22</v>
      </c>
      <c r="B11" s="8" t="s">
        <v>23</v>
      </c>
      <c r="C11" s="9">
        <v>108.3</v>
      </c>
      <c r="D11" s="10">
        <v>2166000</v>
      </c>
      <c r="E11" s="11">
        <v>146.80000000000001</v>
      </c>
      <c r="F11" s="12">
        <v>2936000</v>
      </c>
      <c r="G11" s="9">
        <v>129.96</v>
      </c>
      <c r="H11" s="13">
        <f t="shared" si="2"/>
        <v>2599200</v>
      </c>
      <c r="I11" s="11">
        <v>176.16</v>
      </c>
      <c r="J11" s="12">
        <f t="shared" si="0"/>
        <v>3523200</v>
      </c>
      <c r="K11" s="1"/>
      <c r="L11" s="7" t="s">
        <v>22</v>
      </c>
      <c r="M11" s="8" t="s">
        <v>23</v>
      </c>
      <c r="N11" s="9">
        <v>108.3</v>
      </c>
      <c r="O11" s="10">
        <v>2166000</v>
      </c>
      <c r="P11" s="11">
        <v>146.80000000000001</v>
      </c>
      <c r="Q11" s="12">
        <v>2936000</v>
      </c>
      <c r="R11" s="9">
        <v>129.96</v>
      </c>
      <c r="S11" s="13">
        <f t="shared" si="3"/>
        <v>2599200</v>
      </c>
      <c r="T11" s="11">
        <v>176.16</v>
      </c>
      <c r="U11" s="12">
        <f t="shared" si="1"/>
        <v>3523200</v>
      </c>
    </row>
    <row r="12" spans="1:21" x14ac:dyDescent="0.2">
      <c r="A12" s="7" t="s">
        <v>24</v>
      </c>
      <c r="B12" s="8" t="s">
        <v>25</v>
      </c>
      <c r="C12" s="9">
        <v>128.30000000000001</v>
      </c>
      <c r="D12" s="10">
        <v>2566000</v>
      </c>
      <c r="E12" s="11">
        <v>171</v>
      </c>
      <c r="F12" s="12">
        <v>3420000</v>
      </c>
      <c r="G12" s="9">
        <v>153.96</v>
      </c>
      <c r="H12" s="13">
        <f t="shared" si="2"/>
        <v>3079200</v>
      </c>
      <c r="I12" s="11">
        <v>205.2</v>
      </c>
      <c r="J12" s="12">
        <f t="shared" si="0"/>
        <v>4104000</v>
      </c>
      <c r="K12" s="1"/>
      <c r="L12" s="7" t="s">
        <v>24</v>
      </c>
      <c r="M12" s="8" t="s">
        <v>25</v>
      </c>
      <c r="N12" s="9">
        <v>128.30000000000001</v>
      </c>
      <c r="O12" s="10">
        <v>2566000</v>
      </c>
      <c r="P12" s="11">
        <v>171</v>
      </c>
      <c r="Q12" s="12">
        <v>3420000</v>
      </c>
      <c r="R12" s="9">
        <v>153.96</v>
      </c>
      <c r="S12" s="13">
        <f t="shared" si="3"/>
        <v>3079200</v>
      </c>
      <c r="T12" s="11">
        <v>205.2</v>
      </c>
      <c r="U12" s="12">
        <f t="shared" si="1"/>
        <v>4104000</v>
      </c>
    </row>
    <row r="13" spans="1:21" x14ac:dyDescent="0.2">
      <c r="A13" s="7" t="s">
        <v>26</v>
      </c>
      <c r="B13" s="8" t="s">
        <v>27</v>
      </c>
      <c r="C13" s="9">
        <v>152</v>
      </c>
      <c r="D13" s="10">
        <v>3040000</v>
      </c>
      <c r="E13" s="11">
        <v>199.2</v>
      </c>
      <c r="F13" s="12">
        <v>3984000</v>
      </c>
      <c r="G13" s="9">
        <v>182.4</v>
      </c>
      <c r="H13" s="13">
        <f t="shared" si="2"/>
        <v>3648000</v>
      </c>
      <c r="I13" s="11">
        <v>239.04</v>
      </c>
      <c r="J13" s="12">
        <f t="shared" si="0"/>
        <v>4780800</v>
      </c>
      <c r="K13" s="1"/>
      <c r="L13" s="7" t="s">
        <v>26</v>
      </c>
      <c r="M13" s="8" t="s">
        <v>27</v>
      </c>
      <c r="N13" s="9">
        <v>152</v>
      </c>
      <c r="O13" s="10">
        <v>3040000</v>
      </c>
      <c r="P13" s="11">
        <v>199.2</v>
      </c>
      <c r="Q13" s="12">
        <v>3984000</v>
      </c>
      <c r="R13" s="9">
        <v>182.4</v>
      </c>
      <c r="S13" s="13">
        <f t="shared" si="3"/>
        <v>3648000</v>
      </c>
      <c r="T13" s="11">
        <v>239.04</v>
      </c>
      <c r="U13" s="12">
        <f t="shared" si="1"/>
        <v>4780800</v>
      </c>
    </row>
    <row r="14" spans="1:21" x14ac:dyDescent="0.2">
      <c r="A14" s="24" t="s">
        <v>28</v>
      </c>
      <c r="B14" s="25"/>
      <c r="C14" s="25"/>
      <c r="D14" s="25"/>
      <c r="E14" s="25"/>
      <c r="F14" s="25"/>
      <c r="G14" s="25"/>
      <c r="H14" s="25"/>
      <c r="I14" s="25"/>
      <c r="J14" s="26"/>
      <c r="K14" s="1"/>
      <c r="L14" s="24" t="s">
        <v>28</v>
      </c>
      <c r="M14" s="25"/>
      <c r="N14" s="25"/>
      <c r="O14" s="25"/>
      <c r="P14" s="25"/>
      <c r="Q14" s="25"/>
      <c r="R14" s="25"/>
      <c r="S14" s="25"/>
      <c r="T14" s="25"/>
      <c r="U14" s="26"/>
    </row>
    <row r="15" spans="1:21" x14ac:dyDescent="0.2">
      <c r="A15" s="7" t="s">
        <v>29</v>
      </c>
      <c r="B15" s="8" t="s">
        <v>30</v>
      </c>
      <c r="C15" s="9">
        <v>0.17</v>
      </c>
      <c r="D15" s="10">
        <v>3400</v>
      </c>
      <c r="E15" s="11">
        <v>0.26</v>
      </c>
      <c r="F15" s="12">
        <v>5200</v>
      </c>
      <c r="G15" s="9">
        <v>0.17</v>
      </c>
      <c r="H15" s="13">
        <v>3400</v>
      </c>
      <c r="I15" s="11">
        <v>0.26</v>
      </c>
      <c r="J15" s="12">
        <f t="shared" ref="J15:J27" si="4">I15*20000</f>
        <v>5200</v>
      </c>
      <c r="K15" s="1"/>
      <c r="L15" s="7" t="s">
        <v>31</v>
      </c>
      <c r="M15" s="8" t="s">
        <v>32</v>
      </c>
      <c r="N15" s="9">
        <v>33.369999999999997</v>
      </c>
      <c r="O15" s="10">
        <v>667400</v>
      </c>
      <c r="P15" s="11">
        <v>58.7</v>
      </c>
      <c r="Q15" s="12">
        <v>1174000</v>
      </c>
      <c r="R15" s="9">
        <v>40.04</v>
      </c>
      <c r="S15" s="10">
        <f t="shared" ref="S15:S30" si="5">R15*20000</f>
        <v>800800</v>
      </c>
      <c r="T15" s="11">
        <v>70.44</v>
      </c>
      <c r="U15" s="12">
        <f t="shared" ref="U15:U30" si="6">T15*20000</f>
        <v>1408800</v>
      </c>
    </row>
    <row r="16" spans="1:21" x14ac:dyDescent="0.2">
      <c r="A16" s="7" t="s">
        <v>33</v>
      </c>
      <c r="B16" s="8" t="s">
        <v>19</v>
      </c>
      <c r="C16" s="9">
        <v>37.5</v>
      </c>
      <c r="D16" s="10">
        <v>750000</v>
      </c>
      <c r="E16" s="11">
        <v>62.2</v>
      </c>
      <c r="F16" s="12">
        <v>1244000</v>
      </c>
      <c r="G16" s="9">
        <v>45</v>
      </c>
      <c r="H16" s="10">
        <f t="shared" ref="H16:H27" si="7">G16*20000</f>
        <v>900000</v>
      </c>
      <c r="I16" s="11">
        <v>74.64</v>
      </c>
      <c r="J16" s="12">
        <f t="shared" si="4"/>
        <v>1492800</v>
      </c>
      <c r="K16" s="1"/>
      <c r="L16" s="7" t="s">
        <v>34</v>
      </c>
      <c r="M16" s="8" t="s">
        <v>35</v>
      </c>
      <c r="N16" s="9">
        <v>33.369999999999997</v>
      </c>
      <c r="O16" s="10">
        <v>667400</v>
      </c>
      <c r="P16" s="11">
        <v>58.7</v>
      </c>
      <c r="Q16" s="12">
        <v>1174000</v>
      </c>
      <c r="R16" s="9">
        <v>40.04</v>
      </c>
      <c r="S16" s="10">
        <f t="shared" si="5"/>
        <v>800800</v>
      </c>
      <c r="T16" s="11">
        <v>70.44</v>
      </c>
      <c r="U16" s="12">
        <f t="shared" si="6"/>
        <v>1408800</v>
      </c>
    </row>
    <row r="17" spans="1:21" x14ac:dyDescent="0.2">
      <c r="A17" s="7" t="s">
        <v>36</v>
      </c>
      <c r="B17" s="8" t="s">
        <v>21</v>
      </c>
      <c r="C17" s="9">
        <v>39.700000000000003</v>
      </c>
      <c r="D17" s="10">
        <v>794000</v>
      </c>
      <c r="E17" s="11">
        <v>66</v>
      </c>
      <c r="F17" s="12">
        <v>1320000</v>
      </c>
      <c r="G17" s="9">
        <v>47.64</v>
      </c>
      <c r="H17" s="10">
        <f t="shared" si="7"/>
        <v>952800</v>
      </c>
      <c r="I17" s="11">
        <v>79.2</v>
      </c>
      <c r="J17" s="12">
        <f t="shared" si="4"/>
        <v>1584000</v>
      </c>
      <c r="K17" s="1"/>
      <c r="L17" s="7" t="s">
        <v>37</v>
      </c>
      <c r="M17" s="8" t="s">
        <v>15</v>
      </c>
      <c r="N17" s="9">
        <v>33.369999999999997</v>
      </c>
      <c r="O17" s="10">
        <v>667400</v>
      </c>
      <c r="P17" s="11">
        <v>58.7</v>
      </c>
      <c r="Q17" s="12">
        <v>1174000</v>
      </c>
      <c r="R17" s="9">
        <v>40.04</v>
      </c>
      <c r="S17" s="10">
        <f t="shared" si="5"/>
        <v>800800</v>
      </c>
      <c r="T17" s="11">
        <v>70.44</v>
      </c>
      <c r="U17" s="12">
        <f t="shared" si="6"/>
        <v>1408800</v>
      </c>
    </row>
    <row r="18" spans="1:21" x14ac:dyDescent="0.2">
      <c r="A18" s="7" t="s">
        <v>38</v>
      </c>
      <c r="B18" s="8" t="s">
        <v>23</v>
      </c>
      <c r="C18" s="9">
        <v>42.1</v>
      </c>
      <c r="D18" s="10">
        <v>842000</v>
      </c>
      <c r="E18" s="11">
        <v>69.900000000000006</v>
      </c>
      <c r="F18" s="12">
        <v>1398000</v>
      </c>
      <c r="G18" s="9">
        <v>50.52</v>
      </c>
      <c r="H18" s="10">
        <f t="shared" si="7"/>
        <v>1010400.0000000001</v>
      </c>
      <c r="I18" s="11">
        <v>83.88</v>
      </c>
      <c r="J18" s="12">
        <f t="shared" si="4"/>
        <v>1677600</v>
      </c>
      <c r="K18" s="1"/>
      <c r="L18" s="7" t="s">
        <v>39</v>
      </c>
      <c r="M18" s="8" t="s">
        <v>17</v>
      </c>
      <c r="N18" s="9">
        <v>33.369999999999997</v>
      </c>
      <c r="O18" s="10">
        <v>667400</v>
      </c>
      <c r="P18" s="11">
        <v>58.7</v>
      </c>
      <c r="Q18" s="12">
        <v>1174000</v>
      </c>
      <c r="R18" s="9">
        <v>40.04</v>
      </c>
      <c r="S18" s="10">
        <f t="shared" si="5"/>
        <v>800800</v>
      </c>
      <c r="T18" s="11">
        <v>70.44</v>
      </c>
      <c r="U18" s="12">
        <f t="shared" si="6"/>
        <v>1408800</v>
      </c>
    </row>
    <row r="19" spans="1:21" x14ac:dyDescent="0.2">
      <c r="A19" s="7" t="s">
        <v>40</v>
      </c>
      <c r="B19" s="8" t="s">
        <v>25</v>
      </c>
      <c r="C19" s="9">
        <v>47.6</v>
      </c>
      <c r="D19" s="10">
        <v>952000</v>
      </c>
      <c r="E19" s="11">
        <v>76.599999999999994</v>
      </c>
      <c r="F19" s="12">
        <v>1532000</v>
      </c>
      <c r="G19" s="9">
        <v>57.12</v>
      </c>
      <c r="H19" s="10">
        <f t="shared" si="7"/>
        <v>1142400</v>
      </c>
      <c r="I19" s="11">
        <v>91.92</v>
      </c>
      <c r="J19" s="12">
        <f t="shared" si="4"/>
        <v>1838400</v>
      </c>
      <c r="K19" s="1"/>
      <c r="L19" s="7" t="s">
        <v>33</v>
      </c>
      <c r="M19" s="8" t="s">
        <v>19</v>
      </c>
      <c r="N19" s="9">
        <v>37.5</v>
      </c>
      <c r="O19" s="10">
        <v>750000</v>
      </c>
      <c r="P19" s="11">
        <v>62.2</v>
      </c>
      <c r="Q19" s="12">
        <v>1244000</v>
      </c>
      <c r="R19" s="9">
        <v>45</v>
      </c>
      <c r="S19" s="10">
        <f t="shared" si="5"/>
        <v>900000</v>
      </c>
      <c r="T19" s="11">
        <v>74.64</v>
      </c>
      <c r="U19" s="12">
        <f t="shared" si="6"/>
        <v>1492800</v>
      </c>
    </row>
    <row r="20" spans="1:21" x14ac:dyDescent="0.2">
      <c r="A20" s="7" t="s">
        <v>41</v>
      </c>
      <c r="B20" s="8" t="s">
        <v>42</v>
      </c>
      <c r="C20" s="9">
        <v>53.8</v>
      </c>
      <c r="D20" s="10">
        <v>1076000</v>
      </c>
      <c r="E20" s="11">
        <v>83.8</v>
      </c>
      <c r="F20" s="12">
        <v>1676000</v>
      </c>
      <c r="G20" s="9">
        <v>64.56</v>
      </c>
      <c r="H20" s="10">
        <f t="shared" si="7"/>
        <v>1291200</v>
      </c>
      <c r="I20" s="11">
        <v>100.56</v>
      </c>
      <c r="J20" s="12">
        <f t="shared" si="4"/>
        <v>2011200</v>
      </c>
      <c r="K20" s="1"/>
      <c r="L20" s="7" t="s">
        <v>36</v>
      </c>
      <c r="M20" s="8" t="s">
        <v>21</v>
      </c>
      <c r="N20" s="9">
        <v>39.700000000000003</v>
      </c>
      <c r="O20" s="10">
        <v>794000</v>
      </c>
      <c r="P20" s="11">
        <v>66</v>
      </c>
      <c r="Q20" s="12">
        <v>1320000</v>
      </c>
      <c r="R20" s="9">
        <v>47.64</v>
      </c>
      <c r="S20" s="10">
        <f t="shared" si="5"/>
        <v>952800</v>
      </c>
      <c r="T20" s="11">
        <v>79.2</v>
      </c>
      <c r="U20" s="12">
        <f t="shared" si="6"/>
        <v>1584000</v>
      </c>
    </row>
    <row r="21" spans="1:21" x14ac:dyDescent="0.2">
      <c r="A21" s="7" t="s">
        <v>43</v>
      </c>
      <c r="B21" s="8" t="s">
        <v>44</v>
      </c>
      <c r="C21" s="9">
        <v>60.8</v>
      </c>
      <c r="D21" s="10">
        <v>1216000</v>
      </c>
      <c r="E21" s="11">
        <v>91.8</v>
      </c>
      <c r="F21" s="12">
        <v>1836000</v>
      </c>
      <c r="G21" s="9">
        <v>72.959999999999994</v>
      </c>
      <c r="H21" s="10">
        <f t="shared" si="7"/>
        <v>1459199.9999999998</v>
      </c>
      <c r="I21" s="11">
        <v>110.16</v>
      </c>
      <c r="J21" s="12">
        <f t="shared" si="4"/>
        <v>2203200</v>
      </c>
      <c r="K21" s="1"/>
      <c r="L21" s="7" t="s">
        <v>38</v>
      </c>
      <c r="M21" s="8" t="s">
        <v>23</v>
      </c>
      <c r="N21" s="9">
        <v>42.1</v>
      </c>
      <c r="O21" s="10">
        <v>842000</v>
      </c>
      <c r="P21" s="11">
        <v>69.900000000000006</v>
      </c>
      <c r="Q21" s="12">
        <v>1398000</v>
      </c>
      <c r="R21" s="9">
        <v>50.52</v>
      </c>
      <c r="S21" s="10">
        <f t="shared" si="5"/>
        <v>1010400.0000000001</v>
      </c>
      <c r="T21" s="11">
        <v>83.88</v>
      </c>
      <c r="U21" s="12">
        <f t="shared" si="6"/>
        <v>1677600</v>
      </c>
    </row>
    <row r="22" spans="1:21" x14ac:dyDescent="0.2">
      <c r="A22" s="7" t="s">
        <v>45</v>
      </c>
      <c r="B22" s="8" t="s">
        <v>46</v>
      </c>
      <c r="C22" s="9">
        <v>69.3</v>
      </c>
      <c r="D22" s="10">
        <v>1386000</v>
      </c>
      <c r="E22" s="11">
        <v>100.5</v>
      </c>
      <c r="F22" s="12">
        <v>2010000</v>
      </c>
      <c r="G22" s="9">
        <v>83.16</v>
      </c>
      <c r="H22" s="10">
        <f t="shared" si="7"/>
        <v>1663200</v>
      </c>
      <c r="I22" s="11">
        <v>120.6</v>
      </c>
      <c r="J22" s="12">
        <f t="shared" si="4"/>
        <v>2412000</v>
      </c>
      <c r="K22" s="1"/>
      <c r="L22" s="7" t="s">
        <v>40</v>
      </c>
      <c r="M22" s="8" t="s">
        <v>25</v>
      </c>
      <c r="N22" s="9">
        <v>47.6</v>
      </c>
      <c r="O22" s="10">
        <v>952000</v>
      </c>
      <c r="P22" s="11">
        <v>76.599999999999994</v>
      </c>
      <c r="Q22" s="12">
        <v>1532000</v>
      </c>
      <c r="R22" s="9">
        <v>57.12</v>
      </c>
      <c r="S22" s="10">
        <f t="shared" si="5"/>
        <v>1142400</v>
      </c>
      <c r="T22" s="11">
        <v>91.92</v>
      </c>
      <c r="U22" s="12">
        <f t="shared" si="6"/>
        <v>1838400</v>
      </c>
    </row>
    <row r="23" spans="1:21" x14ac:dyDescent="0.2">
      <c r="A23" s="7" t="s">
        <v>47</v>
      </c>
      <c r="B23" s="8" t="s">
        <v>48</v>
      </c>
      <c r="C23" s="9">
        <v>79</v>
      </c>
      <c r="D23" s="10">
        <v>1580000</v>
      </c>
      <c r="E23" s="11">
        <v>110</v>
      </c>
      <c r="F23" s="12">
        <v>2200000</v>
      </c>
      <c r="G23" s="9">
        <v>94.8</v>
      </c>
      <c r="H23" s="10">
        <f t="shared" si="7"/>
        <v>1896000</v>
      </c>
      <c r="I23" s="11">
        <v>132</v>
      </c>
      <c r="J23" s="12">
        <f t="shared" si="4"/>
        <v>2640000</v>
      </c>
      <c r="K23" s="1"/>
      <c r="L23" s="7" t="s">
        <v>41</v>
      </c>
      <c r="M23" s="8" t="s">
        <v>42</v>
      </c>
      <c r="N23" s="9">
        <v>53.8</v>
      </c>
      <c r="O23" s="10">
        <v>1076000</v>
      </c>
      <c r="P23" s="11">
        <v>83.8</v>
      </c>
      <c r="Q23" s="12">
        <v>1676000</v>
      </c>
      <c r="R23" s="9">
        <v>64.56</v>
      </c>
      <c r="S23" s="10">
        <f t="shared" si="5"/>
        <v>1291200</v>
      </c>
      <c r="T23" s="11">
        <v>100.56</v>
      </c>
      <c r="U23" s="12">
        <f t="shared" si="6"/>
        <v>2011200</v>
      </c>
    </row>
    <row r="24" spans="1:21" x14ac:dyDescent="0.2">
      <c r="A24" s="7" t="s">
        <v>49</v>
      </c>
      <c r="B24" s="8" t="s">
        <v>50</v>
      </c>
      <c r="C24" s="9">
        <v>90</v>
      </c>
      <c r="D24" s="10">
        <f t="shared" ref="D24:D27" si="8">C24*20000</f>
        <v>1800000</v>
      </c>
      <c r="E24" s="11">
        <v>120.5</v>
      </c>
      <c r="F24" s="12">
        <f t="shared" ref="F24:F27" si="9">E24*20000</f>
        <v>2410000</v>
      </c>
      <c r="G24" s="9">
        <v>108</v>
      </c>
      <c r="H24" s="10">
        <f t="shared" si="7"/>
        <v>2160000</v>
      </c>
      <c r="I24" s="11">
        <v>144.6</v>
      </c>
      <c r="J24" s="12">
        <f t="shared" si="4"/>
        <v>2892000</v>
      </c>
      <c r="K24" s="1"/>
      <c r="L24" s="7" t="s">
        <v>43</v>
      </c>
      <c r="M24" s="8" t="s">
        <v>44</v>
      </c>
      <c r="N24" s="9">
        <v>60.8</v>
      </c>
      <c r="O24" s="10">
        <v>1216000</v>
      </c>
      <c r="P24" s="11">
        <v>91.8</v>
      </c>
      <c r="Q24" s="12">
        <v>1836000</v>
      </c>
      <c r="R24" s="9">
        <v>72.959999999999994</v>
      </c>
      <c r="S24" s="10">
        <f t="shared" si="5"/>
        <v>1459199.9999999998</v>
      </c>
      <c r="T24" s="11">
        <v>110.16</v>
      </c>
      <c r="U24" s="12">
        <f t="shared" si="6"/>
        <v>2203200</v>
      </c>
    </row>
    <row r="25" spans="1:21" x14ac:dyDescent="0.2">
      <c r="A25" s="7" t="s">
        <v>51</v>
      </c>
      <c r="B25" s="8" t="s">
        <v>52</v>
      </c>
      <c r="C25" s="9">
        <v>102.7</v>
      </c>
      <c r="D25" s="10">
        <f t="shared" si="8"/>
        <v>2054000</v>
      </c>
      <c r="E25" s="11">
        <v>132</v>
      </c>
      <c r="F25" s="12">
        <f t="shared" si="9"/>
        <v>2640000</v>
      </c>
      <c r="G25" s="9">
        <v>123.24</v>
      </c>
      <c r="H25" s="10">
        <f t="shared" si="7"/>
        <v>2464800</v>
      </c>
      <c r="I25" s="11">
        <v>158.4</v>
      </c>
      <c r="J25" s="12">
        <f t="shared" si="4"/>
        <v>3168000</v>
      </c>
      <c r="K25" s="1"/>
      <c r="L25" s="7" t="s">
        <v>45</v>
      </c>
      <c r="M25" s="8" t="s">
        <v>46</v>
      </c>
      <c r="N25" s="9">
        <v>69.3</v>
      </c>
      <c r="O25" s="10">
        <v>1386000</v>
      </c>
      <c r="P25" s="11">
        <v>100.5</v>
      </c>
      <c r="Q25" s="12">
        <v>2010000</v>
      </c>
      <c r="R25" s="9">
        <v>83.16</v>
      </c>
      <c r="S25" s="10">
        <f t="shared" si="5"/>
        <v>1663200</v>
      </c>
      <c r="T25" s="11">
        <v>120.6</v>
      </c>
      <c r="U25" s="12">
        <f t="shared" si="6"/>
        <v>2412000</v>
      </c>
    </row>
    <row r="26" spans="1:21" x14ac:dyDescent="0.2">
      <c r="A26" s="7" t="s">
        <v>53</v>
      </c>
      <c r="B26" s="8" t="s">
        <v>54</v>
      </c>
      <c r="C26" s="9">
        <v>117</v>
      </c>
      <c r="D26" s="10">
        <f t="shared" si="8"/>
        <v>2340000</v>
      </c>
      <c r="E26" s="11">
        <v>144.5</v>
      </c>
      <c r="F26" s="12">
        <f t="shared" si="9"/>
        <v>2890000</v>
      </c>
      <c r="G26" s="9">
        <v>140.4</v>
      </c>
      <c r="H26" s="10">
        <f t="shared" si="7"/>
        <v>2808000</v>
      </c>
      <c r="I26" s="11">
        <v>173.4</v>
      </c>
      <c r="J26" s="12">
        <f t="shared" si="4"/>
        <v>3468000</v>
      </c>
      <c r="K26" s="1"/>
      <c r="L26" s="7" t="s">
        <v>47</v>
      </c>
      <c r="M26" s="8" t="s">
        <v>48</v>
      </c>
      <c r="N26" s="9">
        <v>79</v>
      </c>
      <c r="O26" s="10">
        <v>1580000</v>
      </c>
      <c r="P26" s="11">
        <v>110</v>
      </c>
      <c r="Q26" s="12">
        <v>2200000</v>
      </c>
      <c r="R26" s="9">
        <v>94.8</v>
      </c>
      <c r="S26" s="10">
        <f t="shared" si="5"/>
        <v>1896000</v>
      </c>
      <c r="T26" s="11">
        <v>132</v>
      </c>
      <c r="U26" s="12">
        <f t="shared" si="6"/>
        <v>2640000</v>
      </c>
    </row>
    <row r="27" spans="1:21" x14ac:dyDescent="0.2">
      <c r="A27" s="7" t="s">
        <v>55</v>
      </c>
      <c r="B27" s="14" t="s">
        <v>56</v>
      </c>
      <c r="C27" s="9">
        <v>133.4</v>
      </c>
      <c r="D27" s="10">
        <f t="shared" si="8"/>
        <v>2668000</v>
      </c>
      <c r="E27" s="11">
        <v>158.19999999999999</v>
      </c>
      <c r="F27" s="12">
        <f t="shared" si="9"/>
        <v>3164000</v>
      </c>
      <c r="G27" s="9">
        <v>160.08000000000001</v>
      </c>
      <c r="H27" s="10">
        <f t="shared" si="7"/>
        <v>3201600.0000000005</v>
      </c>
      <c r="I27" s="11">
        <v>189.84</v>
      </c>
      <c r="J27" s="12">
        <f t="shared" si="4"/>
        <v>3796800</v>
      </c>
      <c r="K27" s="1"/>
      <c r="L27" s="7" t="s">
        <v>49</v>
      </c>
      <c r="M27" s="8" t="s">
        <v>50</v>
      </c>
      <c r="N27" s="9">
        <v>90</v>
      </c>
      <c r="O27" s="10">
        <f t="shared" ref="O27:O30" si="10">N27*20000</f>
        <v>1800000</v>
      </c>
      <c r="P27" s="11">
        <v>120.5</v>
      </c>
      <c r="Q27" s="12">
        <f t="shared" ref="Q27:Q30" si="11">P27*20000</f>
        <v>2410000</v>
      </c>
      <c r="R27" s="9">
        <v>108</v>
      </c>
      <c r="S27" s="10">
        <f t="shared" si="5"/>
        <v>2160000</v>
      </c>
      <c r="T27" s="11">
        <v>144.6</v>
      </c>
      <c r="U27" s="12">
        <f t="shared" si="6"/>
        <v>2892000</v>
      </c>
    </row>
    <row r="28" spans="1:21" x14ac:dyDescent="0.2">
      <c r="A28" s="24" t="s">
        <v>57</v>
      </c>
      <c r="B28" s="25"/>
      <c r="C28" s="25"/>
      <c r="D28" s="25"/>
      <c r="E28" s="25"/>
      <c r="F28" s="25"/>
      <c r="G28" s="25"/>
      <c r="H28" s="25"/>
      <c r="I28" s="25"/>
      <c r="J28" s="26"/>
      <c r="K28" s="1"/>
      <c r="L28" s="7" t="s">
        <v>51</v>
      </c>
      <c r="M28" s="8" t="s">
        <v>52</v>
      </c>
      <c r="N28" s="9">
        <v>102.7</v>
      </c>
      <c r="O28" s="10">
        <f t="shared" si="10"/>
        <v>2054000</v>
      </c>
      <c r="P28" s="11">
        <v>132</v>
      </c>
      <c r="Q28" s="12">
        <f t="shared" si="11"/>
        <v>2640000</v>
      </c>
      <c r="R28" s="9">
        <v>123.24</v>
      </c>
      <c r="S28" s="10">
        <f t="shared" si="5"/>
        <v>2464800</v>
      </c>
      <c r="T28" s="11">
        <v>158.4</v>
      </c>
      <c r="U28" s="12">
        <f t="shared" si="6"/>
        <v>3168000</v>
      </c>
    </row>
    <row r="29" spans="1:21" x14ac:dyDescent="0.2">
      <c r="A29" s="7" t="s">
        <v>29</v>
      </c>
      <c r="B29" s="8" t="s">
        <v>30</v>
      </c>
      <c r="C29" s="9">
        <v>0.17</v>
      </c>
      <c r="D29" s="10">
        <v>3400</v>
      </c>
      <c r="E29" s="11">
        <v>0.26</v>
      </c>
      <c r="F29" s="12">
        <v>5200</v>
      </c>
      <c r="G29" s="9">
        <v>0.17</v>
      </c>
      <c r="H29" s="13">
        <v>3400</v>
      </c>
      <c r="I29" s="11">
        <v>0.26</v>
      </c>
      <c r="J29" s="12">
        <f t="shared" ref="J29:J41" si="12">I29*20000</f>
        <v>5200</v>
      </c>
      <c r="K29" s="1"/>
      <c r="L29" s="7" t="s">
        <v>53</v>
      </c>
      <c r="M29" s="8" t="s">
        <v>54</v>
      </c>
      <c r="N29" s="9">
        <v>117</v>
      </c>
      <c r="O29" s="10">
        <f t="shared" si="10"/>
        <v>2340000</v>
      </c>
      <c r="P29" s="11">
        <v>144.5</v>
      </c>
      <c r="Q29" s="12">
        <f t="shared" si="11"/>
        <v>2890000</v>
      </c>
      <c r="R29" s="9">
        <v>140.4</v>
      </c>
      <c r="S29" s="10">
        <f t="shared" si="5"/>
        <v>2808000</v>
      </c>
      <c r="T29" s="11">
        <v>173.4</v>
      </c>
      <c r="U29" s="12">
        <f t="shared" si="6"/>
        <v>3468000</v>
      </c>
    </row>
    <row r="30" spans="1:21" x14ac:dyDescent="0.2">
      <c r="A30" s="7" t="s">
        <v>33</v>
      </c>
      <c r="B30" s="8" t="s">
        <v>19</v>
      </c>
      <c r="C30" s="9">
        <v>96.11</v>
      </c>
      <c r="D30" s="10">
        <v>1922200</v>
      </c>
      <c r="E30" s="11">
        <v>144</v>
      </c>
      <c r="F30" s="12">
        <v>2880000</v>
      </c>
      <c r="G30" s="9">
        <v>115.34</v>
      </c>
      <c r="H30" s="10">
        <f t="shared" ref="H30:H41" si="13">G30*20000</f>
        <v>2306800</v>
      </c>
      <c r="I30" s="11">
        <v>172.8</v>
      </c>
      <c r="J30" s="12">
        <f t="shared" si="12"/>
        <v>3456000</v>
      </c>
      <c r="K30" s="1"/>
      <c r="L30" s="7" t="s">
        <v>55</v>
      </c>
      <c r="M30" s="14" t="s">
        <v>56</v>
      </c>
      <c r="N30" s="9">
        <v>133.4</v>
      </c>
      <c r="O30" s="10">
        <f t="shared" si="10"/>
        <v>2668000</v>
      </c>
      <c r="P30" s="11">
        <v>158.19999999999999</v>
      </c>
      <c r="Q30" s="12">
        <f t="shared" si="11"/>
        <v>3164000</v>
      </c>
      <c r="R30" s="9">
        <v>160.08000000000001</v>
      </c>
      <c r="S30" s="10">
        <f t="shared" si="5"/>
        <v>3201600.0000000005</v>
      </c>
      <c r="T30" s="11">
        <v>189.84</v>
      </c>
      <c r="U30" s="12">
        <f t="shared" si="6"/>
        <v>3796800</v>
      </c>
    </row>
    <row r="31" spans="1:21" x14ac:dyDescent="0.2">
      <c r="A31" s="7" t="s">
        <v>36</v>
      </c>
      <c r="B31" s="8" t="s">
        <v>21</v>
      </c>
      <c r="C31" s="9">
        <v>98.5</v>
      </c>
      <c r="D31" s="10">
        <v>1970000</v>
      </c>
      <c r="E31" s="11">
        <v>145.9</v>
      </c>
      <c r="F31" s="12">
        <v>2918000</v>
      </c>
      <c r="G31" s="9">
        <v>118.2</v>
      </c>
      <c r="H31" s="10">
        <f t="shared" si="13"/>
        <v>2364000</v>
      </c>
      <c r="I31" s="11">
        <v>175.08</v>
      </c>
      <c r="J31" s="12">
        <f t="shared" si="12"/>
        <v>3501600.0000000005</v>
      </c>
      <c r="K31" s="1"/>
      <c r="L31" s="24" t="s">
        <v>57</v>
      </c>
      <c r="M31" s="25"/>
      <c r="N31" s="25"/>
      <c r="O31" s="25"/>
      <c r="P31" s="25"/>
      <c r="Q31" s="25"/>
      <c r="R31" s="25"/>
      <c r="S31" s="25"/>
      <c r="T31" s="25"/>
      <c r="U31" s="26"/>
    </row>
    <row r="32" spans="1:21" x14ac:dyDescent="0.2">
      <c r="A32" s="7" t="s">
        <v>38</v>
      </c>
      <c r="B32" s="8" t="s">
        <v>23</v>
      </c>
      <c r="C32" s="9">
        <v>100.1</v>
      </c>
      <c r="D32" s="10">
        <v>2002000</v>
      </c>
      <c r="E32" s="11">
        <v>148</v>
      </c>
      <c r="F32" s="12">
        <v>2960000</v>
      </c>
      <c r="G32" s="9">
        <v>120.12</v>
      </c>
      <c r="H32" s="10">
        <f t="shared" si="13"/>
        <v>2402400</v>
      </c>
      <c r="I32" s="11">
        <v>177.6</v>
      </c>
      <c r="J32" s="12">
        <f t="shared" si="12"/>
        <v>3552000</v>
      </c>
      <c r="K32" s="1"/>
      <c r="L32" s="7" t="s">
        <v>31</v>
      </c>
      <c r="M32" s="8" t="s">
        <v>32</v>
      </c>
      <c r="N32" s="9">
        <v>93.77</v>
      </c>
      <c r="O32" s="10">
        <v>1875400</v>
      </c>
      <c r="P32" s="11">
        <v>141.97</v>
      </c>
      <c r="Q32" s="12">
        <v>2839400</v>
      </c>
      <c r="R32" s="9">
        <v>112.52</v>
      </c>
      <c r="S32" s="10">
        <f t="shared" ref="S32:S47" si="14">R32*20000</f>
        <v>2250400</v>
      </c>
      <c r="T32" s="11">
        <v>170.36</v>
      </c>
      <c r="U32" s="12">
        <f t="shared" ref="U32:U47" si="15">T32*20000</f>
        <v>3407200.0000000005</v>
      </c>
    </row>
    <row r="33" spans="1:21" x14ac:dyDescent="0.2">
      <c r="A33" s="7" t="s">
        <v>40</v>
      </c>
      <c r="B33" s="8" t="s">
        <v>25</v>
      </c>
      <c r="C33" s="9">
        <v>105</v>
      </c>
      <c r="D33" s="10">
        <v>2100000</v>
      </c>
      <c r="E33" s="11">
        <v>152.5</v>
      </c>
      <c r="F33" s="12">
        <v>3050000</v>
      </c>
      <c r="G33" s="9">
        <v>126</v>
      </c>
      <c r="H33" s="10">
        <f t="shared" si="13"/>
        <v>2520000</v>
      </c>
      <c r="I33" s="11">
        <v>183</v>
      </c>
      <c r="J33" s="12">
        <f t="shared" si="12"/>
        <v>3660000</v>
      </c>
      <c r="K33" s="1"/>
      <c r="L33" s="7" t="s">
        <v>34</v>
      </c>
      <c r="M33" s="8" t="s">
        <v>35</v>
      </c>
      <c r="N33" s="9">
        <v>93.77</v>
      </c>
      <c r="O33" s="10">
        <v>1875400</v>
      </c>
      <c r="P33" s="11">
        <v>141.97</v>
      </c>
      <c r="Q33" s="12">
        <v>2839400</v>
      </c>
      <c r="R33" s="9">
        <v>112.52</v>
      </c>
      <c r="S33" s="10">
        <f t="shared" si="14"/>
        <v>2250400</v>
      </c>
      <c r="T33" s="11">
        <v>170.36</v>
      </c>
      <c r="U33" s="12">
        <f t="shared" si="15"/>
        <v>3407200.0000000005</v>
      </c>
    </row>
    <row r="34" spans="1:21" x14ac:dyDescent="0.2">
      <c r="A34" s="7" t="s">
        <v>41</v>
      </c>
      <c r="B34" s="8" t="s">
        <v>42</v>
      </c>
      <c r="C34" s="9">
        <v>109.2</v>
      </c>
      <c r="D34" s="10">
        <v>2184000</v>
      </c>
      <c r="E34" s="11">
        <v>157.1</v>
      </c>
      <c r="F34" s="12">
        <v>3142000</v>
      </c>
      <c r="G34" s="9">
        <v>131.04</v>
      </c>
      <c r="H34" s="10">
        <f t="shared" si="13"/>
        <v>2620800</v>
      </c>
      <c r="I34" s="11">
        <v>188.52</v>
      </c>
      <c r="J34" s="12">
        <f t="shared" si="12"/>
        <v>3770400</v>
      </c>
      <c r="K34" s="1"/>
      <c r="L34" s="7" t="s">
        <v>37</v>
      </c>
      <c r="M34" s="8" t="s">
        <v>15</v>
      </c>
      <c r="N34" s="9">
        <v>93.77</v>
      </c>
      <c r="O34" s="10">
        <v>1875400</v>
      </c>
      <c r="P34" s="11">
        <v>141.97</v>
      </c>
      <c r="Q34" s="12">
        <v>2839400</v>
      </c>
      <c r="R34" s="9">
        <v>112.52</v>
      </c>
      <c r="S34" s="10">
        <f t="shared" si="14"/>
        <v>2250400</v>
      </c>
      <c r="T34" s="11">
        <v>170.36</v>
      </c>
      <c r="U34" s="12">
        <f t="shared" si="15"/>
        <v>3407200.0000000005</v>
      </c>
    </row>
    <row r="35" spans="1:21" x14ac:dyDescent="0.2">
      <c r="A35" s="7" t="s">
        <v>43</v>
      </c>
      <c r="B35" s="8" t="s">
        <v>44</v>
      </c>
      <c r="C35" s="9">
        <v>113.6</v>
      </c>
      <c r="D35" s="10">
        <v>2272000</v>
      </c>
      <c r="E35" s="11">
        <v>161.4</v>
      </c>
      <c r="F35" s="12">
        <v>3228000</v>
      </c>
      <c r="G35" s="9">
        <v>136.32</v>
      </c>
      <c r="H35" s="10">
        <f t="shared" si="13"/>
        <v>2726400</v>
      </c>
      <c r="I35" s="11">
        <v>193.68</v>
      </c>
      <c r="J35" s="12">
        <f t="shared" si="12"/>
        <v>3873600</v>
      </c>
      <c r="K35" s="1"/>
      <c r="L35" s="7" t="s">
        <v>39</v>
      </c>
      <c r="M35" s="8" t="s">
        <v>17</v>
      </c>
      <c r="N35" s="9">
        <v>93.77</v>
      </c>
      <c r="O35" s="10">
        <v>1875400</v>
      </c>
      <c r="P35" s="11">
        <v>141.97</v>
      </c>
      <c r="Q35" s="12">
        <v>2839400</v>
      </c>
      <c r="R35" s="9">
        <v>112.52</v>
      </c>
      <c r="S35" s="10">
        <f t="shared" si="14"/>
        <v>2250400</v>
      </c>
      <c r="T35" s="11">
        <v>170.36</v>
      </c>
      <c r="U35" s="12">
        <f t="shared" si="15"/>
        <v>3407200.0000000005</v>
      </c>
    </row>
    <row r="36" spans="1:21" x14ac:dyDescent="0.2">
      <c r="A36" s="7" t="s">
        <v>45</v>
      </c>
      <c r="B36" s="8" t="s">
        <v>46</v>
      </c>
      <c r="C36" s="9">
        <v>118.1</v>
      </c>
      <c r="D36" s="10">
        <v>2362000</v>
      </c>
      <c r="E36" s="11">
        <v>165.9</v>
      </c>
      <c r="F36" s="12">
        <v>3318000</v>
      </c>
      <c r="G36" s="9">
        <v>141.72</v>
      </c>
      <c r="H36" s="10">
        <f t="shared" si="13"/>
        <v>2834400</v>
      </c>
      <c r="I36" s="11">
        <v>199.08</v>
      </c>
      <c r="J36" s="12">
        <f t="shared" si="12"/>
        <v>3981600.0000000005</v>
      </c>
      <c r="K36" s="1"/>
      <c r="L36" s="7" t="s">
        <v>33</v>
      </c>
      <c r="M36" s="8" t="s">
        <v>19</v>
      </c>
      <c r="N36" s="9">
        <v>96.11</v>
      </c>
      <c r="O36" s="10">
        <v>1922200</v>
      </c>
      <c r="P36" s="11">
        <v>144</v>
      </c>
      <c r="Q36" s="12">
        <v>2880000</v>
      </c>
      <c r="R36" s="9">
        <v>115.34</v>
      </c>
      <c r="S36" s="10">
        <f t="shared" si="14"/>
        <v>2306800</v>
      </c>
      <c r="T36" s="11">
        <v>172.8</v>
      </c>
      <c r="U36" s="12">
        <f t="shared" si="15"/>
        <v>3456000</v>
      </c>
    </row>
    <row r="37" spans="1:21" x14ac:dyDescent="0.2">
      <c r="A37" s="7" t="s">
        <v>47</v>
      </c>
      <c r="B37" s="8" t="s">
        <v>48</v>
      </c>
      <c r="C37" s="9">
        <v>122.9</v>
      </c>
      <c r="D37" s="10">
        <v>2458000</v>
      </c>
      <c r="E37" s="11">
        <v>170.6</v>
      </c>
      <c r="F37" s="12">
        <v>3412000</v>
      </c>
      <c r="G37" s="9">
        <v>147.47999999999999</v>
      </c>
      <c r="H37" s="10">
        <f t="shared" si="13"/>
        <v>2949600</v>
      </c>
      <c r="I37" s="11">
        <v>204.72</v>
      </c>
      <c r="J37" s="12">
        <f t="shared" si="12"/>
        <v>4094400</v>
      </c>
      <c r="K37" s="1"/>
      <c r="L37" s="7" t="s">
        <v>36</v>
      </c>
      <c r="M37" s="8" t="s">
        <v>21</v>
      </c>
      <c r="N37" s="9">
        <v>98.5</v>
      </c>
      <c r="O37" s="10">
        <v>1970000</v>
      </c>
      <c r="P37" s="11">
        <v>145.9</v>
      </c>
      <c r="Q37" s="12">
        <v>2918000</v>
      </c>
      <c r="R37" s="9">
        <v>118.2</v>
      </c>
      <c r="S37" s="10">
        <f t="shared" si="14"/>
        <v>2364000</v>
      </c>
      <c r="T37" s="11">
        <v>175.08</v>
      </c>
      <c r="U37" s="12">
        <f t="shared" si="15"/>
        <v>3501600.0000000005</v>
      </c>
    </row>
    <row r="38" spans="1:21" x14ac:dyDescent="0.2">
      <c r="A38" s="7" t="s">
        <v>49</v>
      </c>
      <c r="B38" s="8" t="s">
        <v>50</v>
      </c>
      <c r="C38" s="9">
        <v>127.8</v>
      </c>
      <c r="D38" s="10">
        <f t="shared" ref="D38:D41" si="16">C38*20000</f>
        <v>2556000</v>
      </c>
      <c r="E38" s="11">
        <v>175.4</v>
      </c>
      <c r="F38" s="12">
        <f t="shared" ref="F38:F41" si="17">E38*20000</f>
        <v>3508000</v>
      </c>
      <c r="G38" s="9">
        <v>153.36000000000001</v>
      </c>
      <c r="H38" s="10">
        <f t="shared" si="13"/>
        <v>3067200.0000000005</v>
      </c>
      <c r="I38" s="11">
        <v>210.48</v>
      </c>
      <c r="J38" s="12">
        <f t="shared" si="12"/>
        <v>4209600</v>
      </c>
      <c r="K38" s="1"/>
      <c r="L38" s="7" t="s">
        <v>38</v>
      </c>
      <c r="M38" s="8" t="s">
        <v>23</v>
      </c>
      <c r="N38" s="9">
        <v>100.1</v>
      </c>
      <c r="O38" s="10">
        <v>2002000</v>
      </c>
      <c r="P38" s="11">
        <v>148</v>
      </c>
      <c r="Q38" s="12">
        <v>2960000</v>
      </c>
      <c r="R38" s="9">
        <v>120.12</v>
      </c>
      <c r="S38" s="10">
        <f t="shared" si="14"/>
        <v>2402400</v>
      </c>
      <c r="T38" s="11">
        <v>177.6</v>
      </c>
      <c r="U38" s="12">
        <f t="shared" si="15"/>
        <v>3552000</v>
      </c>
    </row>
    <row r="39" spans="1:21" x14ac:dyDescent="0.2">
      <c r="A39" s="7" t="s">
        <v>51</v>
      </c>
      <c r="B39" s="8" t="s">
        <v>52</v>
      </c>
      <c r="C39" s="9">
        <v>132.9</v>
      </c>
      <c r="D39" s="10">
        <f t="shared" si="16"/>
        <v>2658000</v>
      </c>
      <c r="E39" s="11">
        <v>180.3</v>
      </c>
      <c r="F39" s="12">
        <f t="shared" si="17"/>
        <v>3606000</v>
      </c>
      <c r="G39" s="9">
        <v>159.47999999999999</v>
      </c>
      <c r="H39" s="10">
        <f t="shared" si="13"/>
        <v>3189600</v>
      </c>
      <c r="I39" s="11">
        <v>216.36</v>
      </c>
      <c r="J39" s="12">
        <f t="shared" si="12"/>
        <v>4327200</v>
      </c>
      <c r="K39" s="1"/>
      <c r="L39" s="7" t="s">
        <v>40</v>
      </c>
      <c r="M39" s="8" t="s">
        <v>25</v>
      </c>
      <c r="N39" s="9">
        <v>105</v>
      </c>
      <c r="O39" s="10">
        <v>2100000</v>
      </c>
      <c r="P39" s="11">
        <v>152.5</v>
      </c>
      <c r="Q39" s="12">
        <v>3050000</v>
      </c>
      <c r="R39" s="9">
        <v>126</v>
      </c>
      <c r="S39" s="10">
        <f t="shared" si="14"/>
        <v>2520000</v>
      </c>
      <c r="T39" s="11">
        <v>183</v>
      </c>
      <c r="U39" s="12">
        <f t="shared" si="15"/>
        <v>3660000</v>
      </c>
    </row>
    <row r="40" spans="1:21" x14ac:dyDescent="0.2">
      <c r="A40" s="7" t="s">
        <v>53</v>
      </c>
      <c r="B40" s="8" t="s">
        <v>54</v>
      </c>
      <c r="C40" s="9">
        <v>138.19999999999999</v>
      </c>
      <c r="D40" s="10">
        <f t="shared" si="16"/>
        <v>2764000</v>
      </c>
      <c r="E40" s="11">
        <v>185.3</v>
      </c>
      <c r="F40" s="12">
        <f t="shared" si="17"/>
        <v>3706000</v>
      </c>
      <c r="G40" s="9">
        <v>165.84</v>
      </c>
      <c r="H40" s="10">
        <f t="shared" si="13"/>
        <v>3316800</v>
      </c>
      <c r="I40" s="11">
        <v>222.36</v>
      </c>
      <c r="J40" s="12">
        <f t="shared" si="12"/>
        <v>4447200</v>
      </c>
      <c r="K40" s="1"/>
      <c r="L40" s="7" t="s">
        <v>41</v>
      </c>
      <c r="M40" s="8" t="s">
        <v>42</v>
      </c>
      <c r="N40" s="9">
        <v>109.2</v>
      </c>
      <c r="O40" s="10">
        <v>2184000</v>
      </c>
      <c r="P40" s="11">
        <v>157.1</v>
      </c>
      <c r="Q40" s="12">
        <v>3142000</v>
      </c>
      <c r="R40" s="9">
        <v>131.04</v>
      </c>
      <c r="S40" s="10">
        <f t="shared" si="14"/>
        <v>2620800</v>
      </c>
      <c r="T40" s="11">
        <v>188.52</v>
      </c>
      <c r="U40" s="12">
        <f t="shared" si="15"/>
        <v>3770400</v>
      </c>
    </row>
    <row r="41" spans="1:21" x14ac:dyDescent="0.2">
      <c r="A41" s="15" t="s">
        <v>55</v>
      </c>
      <c r="B41" s="16" t="s">
        <v>56</v>
      </c>
      <c r="C41" s="17">
        <v>143.69999999999999</v>
      </c>
      <c r="D41" s="18">
        <f t="shared" si="16"/>
        <v>2874000</v>
      </c>
      <c r="E41" s="19">
        <v>190.5</v>
      </c>
      <c r="F41" s="20">
        <f t="shared" si="17"/>
        <v>3810000</v>
      </c>
      <c r="G41" s="17">
        <v>172.44</v>
      </c>
      <c r="H41" s="18">
        <f t="shared" si="13"/>
        <v>3448800</v>
      </c>
      <c r="I41" s="19">
        <v>228.6</v>
      </c>
      <c r="J41" s="20">
        <f t="shared" si="12"/>
        <v>4572000</v>
      </c>
      <c r="K41" s="1"/>
      <c r="L41" s="7" t="s">
        <v>43</v>
      </c>
      <c r="M41" s="8" t="s">
        <v>44</v>
      </c>
      <c r="N41" s="9">
        <v>113.6</v>
      </c>
      <c r="O41" s="10">
        <v>2272000</v>
      </c>
      <c r="P41" s="11">
        <v>161.4</v>
      </c>
      <c r="Q41" s="12">
        <v>3228000</v>
      </c>
      <c r="R41" s="9">
        <v>136.32</v>
      </c>
      <c r="S41" s="10">
        <f t="shared" si="14"/>
        <v>2726400</v>
      </c>
      <c r="T41" s="11">
        <v>193.68</v>
      </c>
      <c r="U41" s="12">
        <f t="shared" si="15"/>
        <v>3873600</v>
      </c>
    </row>
    <row r="42" spans="1:2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2"/>
      <c r="L42" s="7" t="s">
        <v>45</v>
      </c>
      <c r="M42" s="8" t="s">
        <v>46</v>
      </c>
      <c r="N42" s="9">
        <v>118.1</v>
      </c>
      <c r="O42" s="10">
        <v>2362000</v>
      </c>
      <c r="P42" s="11">
        <v>165.9</v>
      </c>
      <c r="Q42" s="12">
        <v>3318000</v>
      </c>
      <c r="R42" s="9">
        <v>141.72</v>
      </c>
      <c r="S42" s="10">
        <f t="shared" si="14"/>
        <v>2834400</v>
      </c>
      <c r="T42" s="11">
        <v>199.08</v>
      </c>
      <c r="U42" s="12">
        <f t="shared" si="15"/>
        <v>3981600.0000000005</v>
      </c>
    </row>
    <row r="43" spans="1:21" x14ac:dyDescent="0.2">
      <c r="A43" s="23" t="s">
        <v>58</v>
      </c>
      <c r="B43" s="21"/>
      <c r="C43" s="21"/>
      <c r="D43" s="21"/>
      <c r="E43" s="21"/>
      <c r="F43" s="21"/>
      <c r="G43" s="21"/>
      <c r="H43" s="21"/>
      <c r="I43" s="21"/>
      <c r="J43" s="21"/>
      <c r="K43" s="22"/>
      <c r="L43" s="7" t="s">
        <v>47</v>
      </c>
      <c r="M43" s="8" t="s">
        <v>48</v>
      </c>
      <c r="N43" s="9">
        <v>122.9</v>
      </c>
      <c r="O43" s="10">
        <v>2458000</v>
      </c>
      <c r="P43" s="11">
        <v>170.6</v>
      </c>
      <c r="Q43" s="12">
        <v>3412000</v>
      </c>
      <c r="R43" s="9">
        <v>147.47999999999999</v>
      </c>
      <c r="S43" s="10">
        <f t="shared" si="14"/>
        <v>2949600</v>
      </c>
      <c r="T43" s="11">
        <v>204.72</v>
      </c>
      <c r="U43" s="12">
        <f t="shared" si="15"/>
        <v>4094400</v>
      </c>
    </row>
    <row r="44" spans="1:21" x14ac:dyDescent="0.2">
      <c r="K44" s="22"/>
      <c r="L44" s="7" t="s">
        <v>49</v>
      </c>
      <c r="M44" s="8" t="s">
        <v>50</v>
      </c>
      <c r="N44" s="9">
        <v>127.8</v>
      </c>
      <c r="O44" s="10">
        <f t="shared" ref="O44:O47" si="18">N44*20000</f>
        <v>2556000</v>
      </c>
      <c r="P44" s="11">
        <v>175.4</v>
      </c>
      <c r="Q44" s="12">
        <f t="shared" ref="Q44:Q47" si="19">P44*20000</f>
        <v>3508000</v>
      </c>
      <c r="R44" s="9">
        <v>153.36000000000001</v>
      </c>
      <c r="S44" s="10">
        <f t="shared" si="14"/>
        <v>3067200.0000000005</v>
      </c>
      <c r="T44" s="11">
        <v>210.48</v>
      </c>
      <c r="U44" s="12">
        <f t="shared" si="15"/>
        <v>4209600</v>
      </c>
    </row>
    <row r="45" spans="1:21" x14ac:dyDescent="0.2">
      <c r="K45" s="22"/>
      <c r="L45" s="7" t="s">
        <v>51</v>
      </c>
      <c r="M45" s="8" t="s">
        <v>52</v>
      </c>
      <c r="N45" s="9">
        <v>132.9</v>
      </c>
      <c r="O45" s="10">
        <f t="shared" si="18"/>
        <v>2658000</v>
      </c>
      <c r="P45" s="11">
        <v>180.3</v>
      </c>
      <c r="Q45" s="12">
        <f t="shared" si="19"/>
        <v>3606000</v>
      </c>
      <c r="R45" s="9">
        <v>159.47999999999999</v>
      </c>
      <c r="S45" s="10">
        <f t="shared" si="14"/>
        <v>3189600</v>
      </c>
      <c r="T45" s="11">
        <v>216.36</v>
      </c>
      <c r="U45" s="12">
        <f t="shared" si="15"/>
        <v>4327200</v>
      </c>
    </row>
    <row r="46" spans="1:21" x14ac:dyDescent="0.2">
      <c r="K46" s="22"/>
      <c r="L46" s="7" t="s">
        <v>53</v>
      </c>
      <c r="M46" s="8" t="s">
        <v>54</v>
      </c>
      <c r="N46" s="9">
        <v>138.19999999999999</v>
      </c>
      <c r="O46" s="10">
        <f t="shared" si="18"/>
        <v>2764000</v>
      </c>
      <c r="P46" s="11">
        <v>185.3</v>
      </c>
      <c r="Q46" s="12">
        <f t="shared" si="19"/>
        <v>3706000</v>
      </c>
      <c r="R46" s="9">
        <v>165.84</v>
      </c>
      <c r="S46" s="10">
        <f t="shared" si="14"/>
        <v>3316800</v>
      </c>
      <c r="T46" s="11">
        <v>222.36</v>
      </c>
      <c r="U46" s="12">
        <f t="shared" si="15"/>
        <v>4447200</v>
      </c>
    </row>
    <row r="47" spans="1:21" x14ac:dyDescent="0.2">
      <c r="K47" s="22"/>
      <c r="L47" s="7" t="s">
        <v>55</v>
      </c>
      <c r="M47" s="14" t="s">
        <v>56</v>
      </c>
      <c r="N47" s="9">
        <v>143.69999999999999</v>
      </c>
      <c r="O47" s="10">
        <f t="shared" si="18"/>
        <v>2874000</v>
      </c>
      <c r="P47" s="11">
        <v>190.5</v>
      </c>
      <c r="Q47" s="12">
        <f t="shared" si="19"/>
        <v>3810000</v>
      </c>
      <c r="R47" s="9">
        <v>172.44</v>
      </c>
      <c r="S47" s="10">
        <f t="shared" si="14"/>
        <v>3448800</v>
      </c>
      <c r="T47" s="11">
        <v>228.6</v>
      </c>
      <c r="U47" s="12">
        <f t="shared" si="15"/>
        <v>4572000</v>
      </c>
    </row>
    <row r="48" spans="1:21" x14ac:dyDescent="0.2">
      <c r="K48" s="22"/>
      <c r="L48" s="24" t="s">
        <v>59</v>
      </c>
      <c r="M48" s="25"/>
      <c r="N48" s="25"/>
      <c r="O48" s="25"/>
      <c r="P48" s="25"/>
      <c r="Q48" s="25"/>
      <c r="R48" s="25"/>
      <c r="S48" s="25"/>
      <c r="T48" s="25"/>
      <c r="U48" s="26"/>
    </row>
    <row r="49" spans="11:21" x14ac:dyDescent="0.2">
      <c r="K49" s="22"/>
      <c r="L49" s="7" t="s">
        <v>31</v>
      </c>
      <c r="M49" s="8" t="s">
        <v>32</v>
      </c>
      <c r="N49" s="9">
        <v>107.67</v>
      </c>
      <c r="O49" s="10">
        <v>2153400</v>
      </c>
      <c r="P49" s="11">
        <v>164.84</v>
      </c>
      <c r="Q49" s="12">
        <v>3296800</v>
      </c>
      <c r="R49" s="9">
        <v>129.19999999999999</v>
      </c>
      <c r="S49" s="10">
        <f t="shared" ref="S49:S64" si="20">R49*20000</f>
        <v>2584000</v>
      </c>
      <c r="T49" s="11">
        <v>197.81</v>
      </c>
      <c r="U49" s="12">
        <f t="shared" ref="U49:U64" si="21">T49*20000</f>
        <v>3956200</v>
      </c>
    </row>
    <row r="50" spans="11:21" x14ac:dyDescent="0.2">
      <c r="K50" s="22"/>
      <c r="L50" s="7" t="s">
        <v>34</v>
      </c>
      <c r="M50" s="8" t="s">
        <v>35</v>
      </c>
      <c r="N50" s="9">
        <v>107.67</v>
      </c>
      <c r="O50" s="10">
        <v>2153400</v>
      </c>
      <c r="P50" s="11">
        <v>164.84</v>
      </c>
      <c r="Q50" s="12">
        <v>3296800</v>
      </c>
      <c r="R50" s="9">
        <v>129.19999999999999</v>
      </c>
      <c r="S50" s="10">
        <f t="shared" si="20"/>
        <v>2584000</v>
      </c>
      <c r="T50" s="11">
        <v>197.81</v>
      </c>
      <c r="U50" s="12">
        <f t="shared" si="21"/>
        <v>3956200</v>
      </c>
    </row>
    <row r="51" spans="11:21" x14ac:dyDescent="0.2">
      <c r="K51" s="22"/>
      <c r="L51" s="7" t="s">
        <v>37</v>
      </c>
      <c r="M51" s="8" t="s">
        <v>15</v>
      </c>
      <c r="N51" s="9">
        <v>107.67</v>
      </c>
      <c r="O51" s="10">
        <v>2153400</v>
      </c>
      <c r="P51" s="11">
        <v>164.84</v>
      </c>
      <c r="Q51" s="12">
        <v>3296800</v>
      </c>
      <c r="R51" s="9">
        <v>129.19999999999999</v>
      </c>
      <c r="S51" s="10">
        <f t="shared" si="20"/>
        <v>2584000</v>
      </c>
      <c r="T51" s="11">
        <v>197.81</v>
      </c>
      <c r="U51" s="12">
        <f t="shared" si="21"/>
        <v>3956200</v>
      </c>
    </row>
    <row r="52" spans="11:21" x14ac:dyDescent="0.2">
      <c r="K52" s="22"/>
      <c r="L52" s="7" t="s">
        <v>39</v>
      </c>
      <c r="M52" s="8" t="s">
        <v>17</v>
      </c>
      <c r="N52" s="9">
        <v>107.67</v>
      </c>
      <c r="O52" s="10">
        <v>2153400</v>
      </c>
      <c r="P52" s="11">
        <v>164.84</v>
      </c>
      <c r="Q52" s="12">
        <v>3296800</v>
      </c>
      <c r="R52" s="9">
        <v>129.19999999999999</v>
      </c>
      <c r="S52" s="10">
        <f t="shared" si="20"/>
        <v>2584000</v>
      </c>
      <c r="T52" s="11">
        <v>197.81</v>
      </c>
      <c r="U52" s="12">
        <f t="shared" si="21"/>
        <v>3956200</v>
      </c>
    </row>
    <row r="53" spans="11:21" x14ac:dyDescent="0.2">
      <c r="K53" s="22"/>
      <c r="L53" s="7" t="s">
        <v>33</v>
      </c>
      <c r="M53" s="8" t="s">
        <v>19</v>
      </c>
      <c r="N53" s="9">
        <v>109.8</v>
      </c>
      <c r="O53" s="10">
        <v>2196000</v>
      </c>
      <c r="P53" s="11">
        <v>166.7</v>
      </c>
      <c r="Q53" s="12">
        <v>3334000</v>
      </c>
      <c r="R53" s="9">
        <v>131.76</v>
      </c>
      <c r="S53" s="10">
        <f t="shared" si="20"/>
        <v>2635200</v>
      </c>
      <c r="T53" s="11">
        <v>200.04</v>
      </c>
      <c r="U53" s="12">
        <f t="shared" si="21"/>
        <v>4000800</v>
      </c>
    </row>
    <row r="54" spans="11:21" x14ac:dyDescent="0.2">
      <c r="K54" s="22"/>
      <c r="L54" s="7" t="s">
        <v>36</v>
      </c>
      <c r="M54" s="8" t="s">
        <v>21</v>
      </c>
      <c r="N54" s="9">
        <v>112</v>
      </c>
      <c r="O54" s="10">
        <v>2240000</v>
      </c>
      <c r="P54" s="11">
        <v>168.5</v>
      </c>
      <c r="Q54" s="12">
        <v>3370000</v>
      </c>
      <c r="R54" s="9">
        <v>134.4</v>
      </c>
      <c r="S54" s="10">
        <f t="shared" si="20"/>
        <v>2688000</v>
      </c>
      <c r="T54" s="11">
        <v>202.2</v>
      </c>
      <c r="U54" s="12">
        <f t="shared" si="21"/>
        <v>4044000</v>
      </c>
    </row>
    <row r="55" spans="11:21" x14ac:dyDescent="0.2">
      <c r="K55" s="22"/>
      <c r="L55" s="7" t="s">
        <v>38</v>
      </c>
      <c r="M55" s="8" t="s">
        <v>23</v>
      </c>
      <c r="N55" s="9">
        <v>114.3</v>
      </c>
      <c r="O55" s="10">
        <v>2286000</v>
      </c>
      <c r="P55" s="11">
        <v>170.3</v>
      </c>
      <c r="Q55" s="12">
        <v>3406000</v>
      </c>
      <c r="R55" s="9">
        <v>137.16</v>
      </c>
      <c r="S55" s="10">
        <f t="shared" si="20"/>
        <v>2743200</v>
      </c>
      <c r="T55" s="11">
        <v>204.36</v>
      </c>
      <c r="U55" s="12">
        <f t="shared" si="21"/>
        <v>4087200.0000000005</v>
      </c>
    </row>
    <row r="56" spans="11:21" x14ac:dyDescent="0.2">
      <c r="K56" s="22"/>
      <c r="L56" s="7" t="s">
        <v>40</v>
      </c>
      <c r="M56" s="8" t="s">
        <v>25</v>
      </c>
      <c r="N56" s="9">
        <v>117.1</v>
      </c>
      <c r="O56" s="10">
        <v>2342000</v>
      </c>
      <c r="P56" s="11">
        <v>172.7</v>
      </c>
      <c r="Q56" s="12">
        <v>3454000</v>
      </c>
      <c r="R56" s="9">
        <v>140.52000000000001</v>
      </c>
      <c r="S56" s="10">
        <f t="shared" si="20"/>
        <v>2810400</v>
      </c>
      <c r="T56" s="11">
        <v>207.24</v>
      </c>
      <c r="U56" s="12">
        <f t="shared" si="21"/>
        <v>4144800</v>
      </c>
    </row>
    <row r="57" spans="11:21" x14ac:dyDescent="0.2">
      <c r="K57" s="22"/>
      <c r="L57" s="7" t="s">
        <v>41</v>
      </c>
      <c r="M57" s="8" t="s">
        <v>42</v>
      </c>
      <c r="N57" s="9">
        <v>120</v>
      </c>
      <c r="O57" s="10">
        <v>2400000</v>
      </c>
      <c r="P57" s="11">
        <v>177</v>
      </c>
      <c r="Q57" s="12">
        <v>3540000</v>
      </c>
      <c r="R57" s="9">
        <v>144</v>
      </c>
      <c r="S57" s="10">
        <f t="shared" si="20"/>
        <v>2880000</v>
      </c>
      <c r="T57" s="11">
        <v>212.4</v>
      </c>
      <c r="U57" s="12">
        <f t="shared" si="21"/>
        <v>4248000</v>
      </c>
    </row>
    <row r="58" spans="11:21" x14ac:dyDescent="0.2">
      <c r="K58" s="22"/>
      <c r="L58" s="7" t="s">
        <v>43</v>
      </c>
      <c r="M58" s="8" t="s">
        <v>44</v>
      </c>
      <c r="N58" s="9">
        <v>126.6</v>
      </c>
      <c r="O58" s="10">
        <v>2532000</v>
      </c>
      <c r="P58" s="11">
        <v>181.5</v>
      </c>
      <c r="Q58" s="12">
        <v>3630000</v>
      </c>
      <c r="R58" s="9">
        <v>151.91999999999999</v>
      </c>
      <c r="S58" s="10">
        <f t="shared" si="20"/>
        <v>3038399.9999999995</v>
      </c>
      <c r="T58" s="11">
        <v>217.8</v>
      </c>
      <c r="U58" s="12">
        <f t="shared" si="21"/>
        <v>4356000</v>
      </c>
    </row>
    <row r="59" spans="11:21" x14ac:dyDescent="0.2">
      <c r="K59" s="22"/>
      <c r="L59" s="7" t="s">
        <v>45</v>
      </c>
      <c r="M59" s="8" t="s">
        <v>46</v>
      </c>
      <c r="N59" s="9">
        <v>133.6</v>
      </c>
      <c r="O59" s="10">
        <v>2672000</v>
      </c>
      <c r="P59" s="11">
        <v>186.9</v>
      </c>
      <c r="Q59" s="12">
        <v>3738000</v>
      </c>
      <c r="R59" s="9">
        <v>160.32</v>
      </c>
      <c r="S59" s="10">
        <f t="shared" si="20"/>
        <v>3206400</v>
      </c>
      <c r="T59" s="11">
        <v>224.28</v>
      </c>
      <c r="U59" s="12">
        <f t="shared" si="21"/>
        <v>4485600</v>
      </c>
    </row>
    <row r="60" spans="11:21" x14ac:dyDescent="0.2">
      <c r="K60" s="22"/>
      <c r="L60" s="7" t="s">
        <v>47</v>
      </c>
      <c r="M60" s="8" t="s">
        <v>48</v>
      </c>
      <c r="N60" s="9">
        <v>141</v>
      </c>
      <c r="O60" s="10">
        <v>2820000</v>
      </c>
      <c r="P60" s="11">
        <v>192.5</v>
      </c>
      <c r="Q60" s="12">
        <v>3850000</v>
      </c>
      <c r="R60" s="9">
        <v>169.2</v>
      </c>
      <c r="S60" s="10">
        <f t="shared" si="20"/>
        <v>3384000</v>
      </c>
      <c r="T60" s="11">
        <v>231</v>
      </c>
      <c r="U60" s="12">
        <f t="shared" si="21"/>
        <v>4620000</v>
      </c>
    </row>
    <row r="61" spans="11:21" x14ac:dyDescent="0.2">
      <c r="K61" s="22"/>
      <c r="L61" s="7" t="s">
        <v>49</v>
      </c>
      <c r="M61" s="8" t="s">
        <v>50</v>
      </c>
      <c r="N61" s="9">
        <v>148.69999999999999</v>
      </c>
      <c r="O61" s="10">
        <f t="shared" ref="O61:O64" si="22">N61*20000</f>
        <v>2974000</v>
      </c>
      <c r="P61" s="11">
        <v>198.3</v>
      </c>
      <c r="Q61" s="12">
        <f t="shared" ref="Q61:Q64" si="23">P61*20000</f>
        <v>3966000</v>
      </c>
      <c r="R61" s="9">
        <v>178.44</v>
      </c>
      <c r="S61" s="10">
        <f t="shared" si="20"/>
        <v>3568800</v>
      </c>
      <c r="T61" s="11">
        <v>237.96</v>
      </c>
      <c r="U61" s="12">
        <f t="shared" si="21"/>
        <v>4759200</v>
      </c>
    </row>
    <row r="62" spans="11:21" x14ac:dyDescent="0.2">
      <c r="K62" s="22"/>
      <c r="L62" s="7" t="s">
        <v>51</v>
      </c>
      <c r="M62" s="8" t="s">
        <v>52</v>
      </c>
      <c r="N62" s="9">
        <v>156.9</v>
      </c>
      <c r="O62" s="10">
        <f t="shared" si="22"/>
        <v>3138000</v>
      </c>
      <c r="P62" s="11">
        <v>204.2</v>
      </c>
      <c r="Q62" s="12">
        <f t="shared" si="23"/>
        <v>4084000</v>
      </c>
      <c r="R62" s="9">
        <v>188.28</v>
      </c>
      <c r="S62" s="10">
        <f t="shared" si="20"/>
        <v>3765600</v>
      </c>
      <c r="T62" s="11">
        <v>245.04</v>
      </c>
      <c r="U62" s="12">
        <f t="shared" si="21"/>
        <v>4900800</v>
      </c>
    </row>
    <row r="63" spans="11:21" x14ac:dyDescent="0.2">
      <c r="K63" s="22"/>
      <c r="L63" s="7" t="s">
        <v>53</v>
      </c>
      <c r="M63" s="8" t="s">
        <v>54</v>
      </c>
      <c r="N63" s="9">
        <v>165.5</v>
      </c>
      <c r="O63" s="10">
        <f t="shared" si="22"/>
        <v>3310000</v>
      </c>
      <c r="P63" s="11">
        <v>210.4</v>
      </c>
      <c r="Q63" s="12">
        <f t="shared" si="23"/>
        <v>4208000</v>
      </c>
      <c r="R63" s="9">
        <v>198.6</v>
      </c>
      <c r="S63" s="10">
        <f t="shared" si="20"/>
        <v>3972000</v>
      </c>
      <c r="T63" s="11">
        <v>252.48</v>
      </c>
      <c r="U63" s="12">
        <f t="shared" si="21"/>
        <v>5049600</v>
      </c>
    </row>
    <row r="64" spans="11:21" x14ac:dyDescent="0.2">
      <c r="K64" s="22"/>
      <c r="L64" s="7" t="s">
        <v>55</v>
      </c>
      <c r="M64" s="14" t="s">
        <v>56</v>
      </c>
      <c r="N64" s="9">
        <v>174.6</v>
      </c>
      <c r="O64" s="10">
        <f t="shared" si="22"/>
        <v>3492000</v>
      </c>
      <c r="P64" s="11">
        <v>216.7</v>
      </c>
      <c r="Q64" s="12">
        <f t="shared" si="23"/>
        <v>4334000</v>
      </c>
      <c r="R64" s="9">
        <v>209.52</v>
      </c>
      <c r="S64" s="10">
        <f t="shared" si="20"/>
        <v>4190400</v>
      </c>
      <c r="T64" s="11">
        <v>260.04000000000002</v>
      </c>
      <c r="U64" s="12">
        <f t="shared" si="21"/>
        <v>5200800</v>
      </c>
    </row>
    <row r="65" spans="11:21" x14ac:dyDescent="0.2">
      <c r="K65" s="22"/>
      <c r="L65" s="24" t="s">
        <v>60</v>
      </c>
      <c r="M65" s="25"/>
      <c r="N65" s="25"/>
      <c r="O65" s="25"/>
      <c r="P65" s="25"/>
      <c r="Q65" s="25"/>
      <c r="R65" s="25"/>
      <c r="S65" s="25"/>
      <c r="T65" s="25"/>
      <c r="U65" s="26"/>
    </row>
    <row r="66" spans="11:21" x14ac:dyDescent="0.2">
      <c r="K66" s="22"/>
      <c r="L66" s="7" t="s">
        <v>31</v>
      </c>
      <c r="M66" s="8" t="s">
        <v>32</v>
      </c>
      <c r="N66" s="9">
        <v>137.11000000000001</v>
      </c>
      <c r="O66" s="10">
        <v>2742200.0000000005</v>
      </c>
      <c r="P66" s="11">
        <v>180.24</v>
      </c>
      <c r="Q66" s="12">
        <v>3604800</v>
      </c>
      <c r="R66" s="9">
        <v>164.53</v>
      </c>
      <c r="S66" s="10">
        <f t="shared" ref="S66:S81" si="24">R66*20000</f>
        <v>3290600</v>
      </c>
      <c r="T66" s="11">
        <v>216.29</v>
      </c>
      <c r="U66" s="12">
        <f t="shared" ref="U66:U81" si="25">T66*20000</f>
        <v>4325800</v>
      </c>
    </row>
    <row r="67" spans="11:21" x14ac:dyDescent="0.2">
      <c r="K67" s="22"/>
      <c r="L67" s="7" t="s">
        <v>34</v>
      </c>
      <c r="M67" s="8" t="s">
        <v>35</v>
      </c>
      <c r="N67" s="9">
        <v>137.11000000000001</v>
      </c>
      <c r="O67" s="10">
        <v>2742200.0000000005</v>
      </c>
      <c r="P67" s="11">
        <v>180.24</v>
      </c>
      <c r="Q67" s="12">
        <v>3604800</v>
      </c>
      <c r="R67" s="9">
        <v>164.53</v>
      </c>
      <c r="S67" s="10">
        <f t="shared" si="24"/>
        <v>3290600</v>
      </c>
      <c r="T67" s="11">
        <v>216.29</v>
      </c>
      <c r="U67" s="12">
        <f t="shared" si="25"/>
        <v>4325800</v>
      </c>
    </row>
    <row r="68" spans="11:21" x14ac:dyDescent="0.2">
      <c r="K68" s="22"/>
      <c r="L68" s="7" t="s">
        <v>37</v>
      </c>
      <c r="M68" s="8" t="s">
        <v>15</v>
      </c>
      <c r="N68" s="9">
        <v>137.11000000000001</v>
      </c>
      <c r="O68" s="10">
        <v>2742200.0000000005</v>
      </c>
      <c r="P68" s="11">
        <v>180.24</v>
      </c>
      <c r="Q68" s="12">
        <v>3604800</v>
      </c>
      <c r="R68" s="9">
        <v>164.53</v>
      </c>
      <c r="S68" s="10">
        <f t="shared" si="24"/>
        <v>3290600</v>
      </c>
      <c r="T68" s="11">
        <v>216.29</v>
      </c>
      <c r="U68" s="12">
        <f t="shared" si="25"/>
        <v>4325800</v>
      </c>
    </row>
    <row r="69" spans="11:21" x14ac:dyDescent="0.2">
      <c r="K69" s="22"/>
      <c r="L69" s="7" t="s">
        <v>39</v>
      </c>
      <c r="M69" s="8" t="s">
        <v>17</v>
      </c>
      <c r="N69" s="9">
        <v>137.11000000000001</v>
      </c>
      <c r="O69" s="10">
        <v>2742200.0000000005</v>
      </c>
      <c r="P69" s="11">
        <v>180.24</v>
      </c>
      <c r="Q69" s="12">
        <v>3604800</v>
      </c>
      <c r="R69" s="9">
        <v>164.53</v>
      </c>
      <c r="S69" s="10">
        <f t="shared" si="24"/>
        <v>3290600</v>
      </c>
      <c r="T69" s="11">
        <v>216.29</v>
      </c>
      <c r="U69" s="12">
        <f t="shared" si="25"/>
        <v>4325800</v>
      </c>
    </row>
    <row r="70" spans="11:21" x14ac:dyDescent="0.2">
      <c r="K70" s="22"/>
      <c r="L70" s="7" t="s">
        <v>33</v>
      </c>
      <c r="M70" s="8" t="s">
        <v>19</v>
      </c>
      <c r="N70" s="9">
        <v>139.4</v>
      </c>
      <c r="O70" s="10">
        <v>2788000</v>
      </c>
      <c r="P70" s="11">
        <v>182.9</v>
      </c>
      <c r="Q70" s="12">
        <v>3658000</v>
      </c>
      <c r="R70" s="9">
        <v>167.28</v>
      </c>
      <c r="S70" s="10">
        <f t="shared" si="24"/>
        <v>3345600</v>
      </c>
      <c r="T70" s="11">
        <v>219.48</v>
      </c>
      <c r="U70" s="12">
        <f t="shared" si="25"/>
        <v>4389600</v>
      </c>
    </row>
    <row r="71" spans="11:21" x14ac:dyDescent="0.2">
      <c r="K71" s="22"/>
      <c r="L71" s="7" t="s">
        <v>36</v>
      </c>
      <c r="M71" s="8" t="s">
        <v>21</v>
      </c>
      <c r="N71" s="9">
        <v>141.80000000000001</v>
      </c>
      <c r="O71" s="10">
        <v>2836000</v>
      </c>
      <c r="P71" s="11">
        <v>185.7</v>
      </c>
      <c r="Q71" s="12">
        <v>3714000</v>
      </c>
      <c r="R71" s="9">
        <v>170.16</v>
      </c>
      <c r="S71" s="10">
        <f t="shared" si="24"/>
        <v>3403200</v>
      </c>
      <c r="T71" s="11">
        <v>222.84</v>
      </c>
      <c r="U71" s="12">
        <f t="shared" si="25"/>
        <v>4456800</v>
      </c>
    </row>
    <row r="72" spans="11:21" x14ac:dyDescent="0.2">
      <c r="K72" s="22"/>
      <c r="L72" s="7" t="s">
        <v>38</v>
      </c>
      <c r="M72" s="8" t="s">
        <v>23</v>
      </c>
      <c r="N72" s="9">
        <v>144.19999999999999</v>
      </c>
      <c r="O72" s="10">
        <v>2884000</v>
      </c>
      <c r="P72" s="11">
        <v>188.5</v>
      </c>
      <c r="Q72" s="12">
        <v>3770000</v>
      </c>
      <c r="R72" s="9">
        <v>173.04</v>
      </c>
      <c r="S72" s="10">
        <f t="shared" si="24"/>
        <v>3460800</v>
      </c>
      <c r="T72" s="11">
        <v>226.2</v>
      </c>
      <c r="U72" s="12">
        <f t="shared" si="25"/>
        <v>4524000</v>
      </c>
    </row>
    <row r="73" spans="11:21" x14ac:dyDescent="0.2">
      <c r="K73" s="22"/>
      <c r="L73" s="7" t="s">
        <v>40</v>
      </c>
      <c r="M73" s="8" t="s">
        <v>25</v>
      </c>
      <c r="N73" s="9">
        <v>147.1</v>
      </c>
      <c r="O73" s="10">
        <v>2942000</v>
      </c>
      <c r="P73" s="11">
        <v>192.8</v>
      </c>
      <c r="Q73" s="12">
        <v>3856000</v>
      </c>
      <c r="R73" s="9">
        <v>176.52</v>
      </c>
      <c r="S73" s="10">
        <f t="shared" si="24"/>
        <v>3530400</v>
      </c>
      <c r="T73" s="11">
        <v>231.36</v>
      </c>
      <c r="U73" s="12">
        <f t="shared" si="25"/>
        <v>4627200</v>
      </c>
    </row>
    <row r="74" spans="11:21" x14ac:dyDescent="0.2">
      <c r="K74" s="22"/>
      <c r="L74" s="7" t="s">
        <v>41</v>
      </c>
      <c r="M74" s="8" t="s">
        <v>42</v>
      </c>
      <c r="N74" s="9">
        <v>150</v>
      </c>
      <c r="O74" s="10">
        <v>3000000</v>
      </c>
      <c r="P74" s="11">
        <v>197.2</v>
      </c>
      <c r="Q74" s="12">
        <v>3944000</v>
      </c>
      <c r="R74" s="9">
        <v>180</v>
      </c>
      <c r="S74" s="10">
        <f t="shared" si="24"/>
        <v>3600000</v>
      </c>
      <c r="T74" s="11">
        <v>236.64</v>
      </c>
      <c r="U74" s="12">
        <f t="shared" si="25"/>
        <v>4732800</v>
      </c>
    </row>
    <row r="75" spans="11:21" x14ac:dyDescent="0.2">
      <c r="K75" s="22"/>
      <c r="L75" s="7" t="s">
        <v>43</v>
      </c>
      <c r="M75" s="8" t="s">
        <v>44</v>
      </c>
      <c r="N75" s="9">
        <v>155.30000000000001</v>
      </c>
      <c r="O75" s="10">
        <v>3106000</v>
      </c>
      <c r="P75" s="11">
        <v>208</v>
      </c>
      <c r="Q75" s="12">
        <v>4160000</v>
      </c>
      <c r="R75" s="9">
        <v>186.36</v>
      </c>
      <c r="S75" s="10">
        <f t="shared" si="24"/>
        <v>3727200.0000000005</v>
      </c>
      <c r="T75" s="11">
        <v>249.6</v>
      </c>
      <c r="U75" s="12">
        <f t="shared" si="25"/>
        <v>4992000</v>
      </c>
    </row>
    <row r="76" spans="11:21" x14ac:dyDescent="0.2">
      <c r="K76" s="22"/>
      <c r="L76" s="7" t="s">
        <v>45</v>
      </c>
      <c r="M76" s="8" t="s">
        <v>46</v>
      </c>
      <c r="N76" s="9">
        <v>160.72999999999999</v>
      </c>
      <c r="O76" s="10">
        <v>3214600</v>
      </c>
      <c r="P76" s="11">
        <v>219.5</v>
      </c>
      <c r="Q76" s="12">
        <v>4390000</v>
      </c>
      <c r="R76" s="9">
        <v>192.88</v>
      </c>
      <c r="S76" s="10">
        <f t="shared" si="24"/>
        <v>3857600</v>
      </c>
      <c r="T76" s="11">
        <v>263.39999999999998</v>
      </c>
      <c r="U76" s="12">
        <f t="shared" si="25"/>
        <v>5268000</v>
      </c>
    </row>
    <row r="77" spans="11:21" x14ac:dyDescent="0.2">
      <c r="K77" s="22"/>
      <c r="L77" s="7" t="s">
        <v>47</v>
      </c>
      <c r="M77" s="8" t="s">
        <v>48</v>
      </c>
      <c r="N77" s="9">
        <v>166.4</v>
      </c>
      <c r="O77" s="10">
        <v>3328000</v>
      </c>
      <c r="P77" s="11">
        <v>231.6</v>
      </c>
      <c r="Q77" s="12">
        <v>4632000</v>
      </c>
      <c r="R77" s="9">
        <v>199.68</v>
      </c>
      <c r="S77" s="10">
        <f t="shared" si="24"/>
        <v>3993600</v>
      </c>
      <c r="T77" s="11">
        <v>277.92</v>
      </c>
      <c r="U77" s="12">
        <f t="shared" si="25"/>
        <v>5558400</v>
      </c>
    </row>
    <row r="78" spans="11:21" x14ac:dyDescent="0.2">
      <c r="K78" s="22"/>
      <c r="L78" s="7" t="s">
        <v>49</v>
      </c>
      <c r="M78" s="8" t="s">
        <v>50</v>
      </c>
      <c r="N78" s="9">
        <v>172.2</v>
      </c>
      <c r="O78" s="10">
        <f t="shared" ref="O78:O81" si="26">N78*20000</f>
        <v>3444000</v>
      </c>
      <c r="P78" s="11">
        <v>244.3</v>
      </c>
      <c r="Q78" s="12">
        <f t="shared" ref="Q78:Q81" si="27">P78*20000</f>
        <v>4886000</v>
      </c>
      <c r="R78" s="9">
        <v>206.64</v>
      </c>
      <c r="S78" s="10">
        <f t="shared" si="24"/>
        <v>4132799.9999999995</v>
      </c>
      <c r="T78" s="11">
        <v>293.16000000000003</v>
      </c>
      <c r="U78" s="12">
        <f t="shared" si="25"/>
        <v>5863200.0000000009</v>
      </c>
    </row>
    <row r="79" spans="11:21" x14ac:dyDescent="0.2">
      <c r="K79" s="22"/>
      <c r="L79" s="7" t="s">
        <v>51</v>
      </c>
      <c r="M79" s="8" t="s">
        <v>52</v>
      </c>
      <c r="N79" s="9">
        <v>178.2</v>
      </c>
      <c r="O79" s="10">
        <f t="shared" si="26"/>
        <v>3564000</v>
      </c>
      <c r="P79" s="11">
        <v>257.8</v>
      </c>
      <c r="Q79" s="12">
        <f t="shared" si="27"/>
        <v>5156000</v>
      </c>
      <c r="R79" s="9">
        <v>213.84</v>
      </c>
      <c r="S79" s="10">
        <f t="shared" si="24"/>
        <v>4276800</v>
      </c>
      <c r="T79" s="11">
        <v>309.36</v>
      </c>
      <c r="U79" s="12">
        <f t="shared" si="25"/>
        <v>6187200</v>
      </c>
    </row>
    <row r="80" spans="11:21" x14ac:dyDescent="0.2">
      <c r="K80" s="22"/>
      <c r="L80" s="7" t="s">
        <v>53</v>
      </c>
      <c r="M80" s="8" t="s">
        <v>54</v>
      </c>
      <c r="N80" s="9">
        <v>184.4</v>
      </c>
      <c r="O80" s="10">
        <f t="shared" si="26"/>
        <v>3688000</v>
      </c>
      <c r="P80" s="11">
        <v>272</v>
      </c>
      <c r="Q80" s="12">
        <f t="shared" si="27"/>
        <v>5440000</v>
      </c>
      <c r="R80" s="9">
        <v>221.28</v>
      </c>
      <c r="S80" s="10">
        <f t="shared" si="24"/>
        <v>4425600</v>
      </c>
      <c r="T80" s="11">
        <v>326.39999999999998</v>
      </c>
      <c r="U80" s="12">
        <f t="shared" si="25"/>
        <v>6528000</v>
      </c>
    </row>
    <row r="81" spans="11:21" x14ac:dyDescent="0.2">
      <c r="K81" s="22"/>
      <c r="L81" s="15" t="s">
        <v>55</v>
      </c>
      <c r="M81" s="16" t="s">
        <v>56</v>
      </c>
      <c r="N81" s="17">
        <v>190.9</v>
      </c>
      <c r="O81" s="18">
        <f t="shared" si="26"/>
        <v>3818000</v>
      </c>
      <c r="P81" s="19">
        <v>286.89999999999998</v>
      </c>
      <c r="Q81" s="20">
        <f t="shared" si="27"/>
        <v>5738000</v>
      </c>
      <c r="R81" s="17">
        <v>229.08</v>
      </c>
      <c r="S81" s="18">
        <f t="shared" si="24"/>
        <v>4581600</v>
      </c>
      <c r="T81" s="19">
        <v>344.28</v>
      </c>
      <c r="U81" s="20">
        <f t="shared" si="25"/>
        <v>6885599.9999999991</v>
      </c>
    </row>
    <row r="82" spans="11:21" x14ac:dyDescent="0.2">
      <c r="K82" s="22"/>
    </row>
    <row r="83" spans="11:21" x14ac:dyDescent="0.2">
      <c r="K83" s="22"/>
    </row>
    <row r="84" spans="11:21" x14ac:dyDescent="0.2">
      <c r="K84" s="22"/>
    </row>
    <row r="85" spans="11:21" x14ac:dyDescent="0.2">
      <c r="K85" s="22"/>
    </row>
    <row r="86" spans="11:21" x14ac:dyDescent="0.2">
      <c r="K86" s="22"/>
    </row>
    <row r="87" spans="11:21" x14ac:dyDescent="0.2">
      <c r="K87" s="22"/>
    </row>
    <row r="88" spans="11:21" x14ac:dyDescent="0.2">
      <c r="K88" s="22"/>
    </row>
    <row r="89" spans="11:21" x14ac:dyDescent="0.2">
      <c r="K89" s="22"/>
    </row>
    <row r="90" spans="11:21" x14ac:dyDescent="0.2">
      <c r="K90" s="22"/>
    </row>
    <row r="91" spans="11:21" x14ac:dyDescent="0.2">
      <c r="K91" s="22"/>
    </row>
    <row r="92" spans="11:21" x14ac:dyDescent="0.2">
      <c r="K92" s="22"/>
    </row>
    <row r="93" spans="11:21" x14ac:dyDescent="0.2">
      <c r="K93" s="22"/>
    </row>
    <row r="94" spans="11:21" x14ac:dyDescent="0.2">
      <c r="K94" s="22"/>
    </row>
    <row r="95" spans="11:21" x14ac:dyDescent="0.2">
      <c r="K95" s="22"/>
    </row>
    <row r="96" spans="11:21" x14ac:dyDescent="0.2">
      <c r="K96" s="22"/>
    </row>
    <row r="97" spans="11:11" x14ac:dyDescent="0.2">
      <c r="K97" s="22"/>
    </row>
    <row r="98" spans="11:11" x14ac:dyDescent="0.2">
      <c r="K98" s="22"/>
    </row>
    <row r="99" spans="11:11" x14ac:dyDescent="0.2">
      <c r="K99" s="22"/>
    </row>
    <row r="100" spans="11:11" x14ac:dyDescent="0.2">
      <c r="K100" s="22"/>
    </row>
    <row r="101" spans="11:11" x14ac:dyDescent="0.2">
      <c r="K101" s="22"/>
    </row>
    <row r="102" spans="11:11" x14ac:dyDescent="0.2">
      <c r="K102" s="22"/>
    </row>
    <row r="103" spans="11:11" x14ac:dyDescent="0.2">
      <c r="K103" s="22"/>
    </row>
    <row r="104" spans="11:11" x14ac:dyDescent="0.2">
      <c r="K104" s="22"/>
    </row>
    <row r="105" spans="11:11" x14ac:dyDescent="0.2">
      <c r="K105" s="22"/>
    </row>
    <row r="106" spans="11:11" x14ac:dyDescent="0.2">
      <c r="K106" s="22"/>
    </row>
    <row r="107" spans="11:11" x14ac:dyDescent="0.2">
      <c r="K107" s="22"/>
    </row>
    <row r="108" spans="11:11" x14ac:dyDescent="0.2">
      <c r="K108" s="22"/>
    </row>
    <row r="109" spans="11:11" x14ac:dyDescent="0.2">
      <c r="K109" s="22"/>
    </row>
    <row r="110" spans="11:11" x14ac:dyDescent="0.2">
      <c r="K110" s="22"/>
    </row>
    <row r="111" spans="11:11" x14ac:dyDescent="0.2">
      <c r="K111" s="22"/>
    </row>
    <row r="112" spans="11:11" x14ac:dyDescent="0.2">
      <c r="K112" s="22"/>
    </row>
    <row r="113" spans="11:11" x14ac:dyDescent="0.2">
      <c r="K113" s="22"/>
    </row>
    <row r="114" spans="11:11" x14ac:dyDescent="0.2">
      <c r="K114" s="22"/>
    </row>
    <row r="115" spans="11:11" x14ac:dyDescent="0.2">
      <c r="K115" s="22"/>
    </row>
    <row r="116" spans="11:11" x14ac:dyDescent="0.2">
      <c r="K116" s="22"/>
    </row>
    <row r="117" spans="11:11" x14ac:dyDescent="0.2">
      <c r="K117" s="22"/>
    </row>
    <row r="118" spans="11:11" x14ac:dyDescent="0.2">
      <c r="K118" s="22"/>
    </row>
    <row r="119" spans="11:11" x14ac:dyDescent="0.2">
      <c r="K119" s="22"/>
    </row>
    <row r="120" spans="11:11" x14ac:dyDescent="0.2">
      <c r="K120" s="22"/>
    </row>
    <row r="121" spans="11:11" x14ac:dyDescent="0.2">
      <c r="K121" s="22"/>
    </row>
    <row r="122" spans="11:11" x14ac:dyDescent="0.2">
      <c r="K122" s="22"/>
    </row>
    <row r="123" spans="11:11" x14ac:dyDescent="0.2">
      <c r="K123" s="22"/>
    </row>
    <row r="124" spans="11:11" x14ac:dyDescent="0.2">
      <c r="K124" s="22"/>
    </row>
    <row r="125" spans="11:11" x14ac:dyDescent="0.2">
      <c r="K125" s="22"/>
    </row>
    <row r="126" spans="11:11" x14ac:dyDescent="0.2">
      <c r="K126" s="22"/>
    </row>
    <row r="127" spans="11:11" x14ac:dyDescent="0.2">
      <c r="K127" s="22"/>
    </row>
    <row r="128" spans="11:11" x14ac:dyDescent="0.2">
      <c r="K128" s="22"/>
    </row>
    <row r="129" spans="11:11" x14ac:dyDescent="0.2">
      <c r="K129" s="22"/>
    </row>
    <row r="130" spans="11:11" x14ac:dyDescent="0.2">
      <c r="K130" s="22"/>
    </row>
    <row r="131" spans="11:11" x14ac:dyDescent="0.2">
      <c r="K131" s="22"/>
    </row>
    <row r="132" spans="11:11" x14ac:dyDescent="0.2">
      <c r="K132" s="22"/>
    </row>
    <row r="133" spans="11:11" x14ac:dyDescent="0.2">
      <c r="K133" s="22"/>
    </row>
    <row r="134" spans="11:11" x14ac:dyDescent="0.2">
      <c r="K134" s="22"/>
    </row>
    <row r="135" spans="11:11" x14ac:dyDescent="0.2">
      <c r="K135" s="22"/>
    </row>
    <row r="136" spans="11:11" x14ac:dyDescent="0.2">
      <c r="K136" s="22"/>
    </row>
    <row r="137" spans="11:11" x14ac:dyDescent="0.2">
      <c r="K137" s="22"/>
    </row>
    <row r="138" spans="11:11" x14ac:dyDescent="0.2">
      <c r="K138" s="22"/>
    </row>
    <row r="139" spans="11:11" x14ac:dyDescent="0.2">
      <c r="K139" s="22"/>
    </row>
    <row r="140" spans="11:11" x14ac:dyDescent="0.2">
      <c r="K140" s="22"/>
    </row>
    <row r="141" spans="11:11" x14ac:dyDescent="0.2">
      <c r="K141" s="22"/>
    </row>
    <row r="142" spans="11:11" x14ac:dyDescent="0.2">
      <c r="K142" s="22"/>
    </row>
    <row r="143" spans="11:11" x14ac:dyDescent="0.2">
      <c r="K143" s="22"/>
    </row>
    <row r="144" spans="11:11" x14ac:dyDescent="0.2">
      <c r="K144" s="22"/>
    </row>
    <row r="145" spans="11:11" x14ac:dyDescent="0.2">
      <c r="K145" s="22"/>
    </row>
    <row r="146" spans="11:11" x14ac:dyDescent="0.2">
      <c r="K146" s="22"/>
    </row>
    <row r="147" spans="11:11" x14ac:dyDescent="0.2">
      <c r="K147" s="22"/>
    </row>
    <row r="148" spans="11:11" x14ac:dyDescent="0.2">
      <c r="K148" s="22"/>
    </row>
    <row r="149" spans="11:11" x14ac:dyDescent="0.2">
      <c r="K149" s="22"/>
    </row>
    <row r="150" spans="11:11" x14ac:dyDescent="0.2">
      <c r="K150" s="22"/>
    </row>
    <row r="151" spans="11:11" x14ac:dyDescent="0.2">
      <c r="K151" s="22"/>
    </row>
    <row r="152" spans="11:11" x14ac:dyDescent="0.2">
      <c r="K152" s="22"/>
    </row>
    <row r="153" spans="11:11" x14ac:dyDescent="0.2">
      <c r="K153" s="22"/>
    </row>
    <row r="154" spans="11:11" x14ac:dyDescent="0.2">
      <c r="K154" s="22"/>
    </row>
    <row r="155" spans="11:11" x14ac:dyDescent="0.2">
      <c r="K155" s="22"/>
    </row>
    <row r="156" spans="11:11" x14ac:dyDescent="0.2">
      <c r="K156" s="22"/>
    </row>
    <row r="157" spans="11:11" x14ac:dyDescent="0.2">
      <c r="K157" s="22"/>
    </row>
    <row r="158" spans="11:11" x14ac:dyDescent="0.2">
      <c r="K158" s="22"/>
    </row>
    <row r="159" spans="11:11" x14ac:dyDescent="0.2">
      <c r="K159" s="22"/>
    </row>
    <row r="160" spans="11:11" x14ac:dyDescent="0.2">
      <c r="K160" s="22"/>
    </row>
    <row r="161" spans="11:11" x14ac:dyDescent="0.2">
      <c r="K161" s="22"/>
    </row>
    <row r="162" spans="11:11" x14ac:dyDescent="0.2">
      <c r="K162" s="22"/>
    </row>
    <row r="163" spans="11:11" x14ac:dyDescent="0.2">
      <c r="K163" s="22"/>
    </row>
    <row r="164" spans="11:11" x14ac:dyDescent="0.2">
      <c r="K164" s="22"/>
    </row>
    <row r="165" spans="11:11" x14ac:dyDescent="0.2">
      <c r="K165" s="22"/>
    </row>
    <row r="166" spans="11:11" x14ac:dyDescent="0.2">
      <c r="K166" s="22"/>
    </row>
    <row r="167" spans="11:11" x14ac:dyDescent="0.2">
      <c r="K167" s="22"/>
    </row>
    <row r="168" spans="11:11" x14ac:dyDescent="0.2">
      <c r="K168" s="22"/>
    </row>
    <row r="169" spans="11:11" x14ac:dyDescent="0.2">
      <c r="K169" s="22"/>
    </row>
    <row r="170" spans="11:11" x14ac:dyDescent="0.2">
      <c r="K170" s="22"/>
    </row>
    <row r="171" spans="11:11" x14ac:dyDescent="0.2">
      <c r="K171" s="22"/>
    </row>
    <row r="172" spans="11:11" x14ac:dyDescent="0.2">
      <c r="K172" s="22"/>
    </row>
    <row r="173" spans="11:11" x14ac:dyDescent="0.2">
      <c r="K173" s="22"/>
    </row>
    <row r="174" spans="11:11" x14ac:dyDescent="0.2">
      <c r="K174" s="22"/>
    </row>
    <row r="175" spans="11:11" x14ac:dyDescent="0.2">
      <c r="K175" s="22"/>
    </row>
    <row r="176" spans="11:11" x14ac:dyDescent="0.2">
      <c r="K176" s="22"/>
    </row>
    <row r="177" spans="11:11" x14ac:dyDescent="0.2">
      <c r="K177" s="22"/>
    </row>
    <row r="178" spans="11:11" x14ac:dyDescent="0.2">
      <c r="K178" s="22"/>
    </row>
    <row r="179" spans="11:11" x14ac:dyDescent="0.2">
      <c r="K179" s="22"/>
    </row>
    <row r="180" spans="11:11" x14ac:dyDescent="0.2">
      <c r="K180" s="22"/>
    </row>
    <row r="181" spans="11:11" x14ac:dyDescent="0.2">
      <c r="K181" s="22"/>
    </row>
    <row r="182" spans="11:11" x14ac:dyDescent="0.2">
      <c r="K182" s="22"/>
    </row>
    <row r="183" spans="11:11" x14ac:dyDescent="0.2">
      <c r="K183" s="22"/>
    </row>
    <row r="184" spans="11:11" x14ac:dyDescent="0.2">
      <c r="K184" s="22"/>
    </row>
    <row r="185" spans="11:11" x14ac:dyDescent="0.2">
      <c r="K185" s="22"/>
    </row>
    <row r="186" spans="11:11" x14ac:dyDescent="0.2">
      <c r="K186" s="22"/>
    </row>
    <row r="187" spans="11:11" x14ac:dyDescent="0.2">
      <c r="K187" s="22"/>
    </row>
    <row r="188" spans="11:11" x14ac:dyDescent="0.2">
      <c r="K188" s="22"/>
    </row>
    <row r="189" spans="11:11" x14ac:dyDescent="0.2">
      <c r="K189" s="22"/>
    </row>
    <row r="190" spans="11:11" x14ac:dyDescent="0.2">
      <c r="K190" s="22"/>
    </row>
    <row r="191" spans="11:11" x14ac:dyDescent="0.2">
      <c r="K191" s="22"/>
    </row>
    <row r="192" spans="11:11" x14ac:dyDescent="0.2">
      <c r="K192" s="22"/>
    </row>
    <row r="193" spans="11:11" x14ac:dyDescent="0.2">
      <c r="K193" s="22"/>
    </row>
    <row r="194" spans="11:11" x14ac:dyDescent="0.2">
      <c r="K194" s="22"/>
    </row>
    <row r="195" spans="11:11" x14ac:dyDescent="0.2">
      <c r="K195" s="22"/>
    </row>
    <row r="196" spans="11:11" x14ac:dyDescent="0.2">
      <c r="K196" s="22"/>
    </row>
    <row r="197" spans="11:11" x14ac:dyDescent="0.2">
      <c r="K197" s="22"/>
    </row>
    <row r="198" spans="11:11" x14ac:dyDescent="0.2">
      <c r="K198" s="22"/>
    </row>
    <row r="199" spans="11:11" x14ac:dyDescent="0.2">
      <c r="K199" s="22"/>
    </row>
    <row r="200" spans="11:11" x14ac:dyDescent="0.2">
      <c r="K200" s="22"/>
    </row>
    <row r="201" spans="11:11" x14ac:dyDescent="0.2">
      <c r="K201" s="22"/>
    </row>
    <row r="202" spans="11:11" x14ac:dyDescent="0.2">
      <c r="K202" s="22"/>
    </row>
    <row r="203" spans="11:11" x14ac:dyDescent="0.2">
      <c r="K203" s="22"/>
    </row>
    <row r="204" spans="11:11" x14ac:dyDescent="0.2">
      <c r="K204" s="22"/>
    </row>
    <row r="205" spans="11:11" x14ac:dyDescent="0.2">
      <c r="K205" s="22"/>
    </row>
    <row r="206" spans="11:11" x14ac:dyDescent="0.2">
      <c r="K206" s="22"/>
    </row>
    <row r="207" spans="11:11" x14ac:dyDescent="0.2">
      <c r="K207" s="22"/>
    </row>
    <row r="208" spans="11:11" x14ac:dyDescent="0.2">
      <c r="K208" s="22"/>
    </row>
    <row r="209" spans="11:11" x14ac:dyDescent="0.2">
      <c r="K209" s="22"/>
    </row>
    <row r="210" spans="11:11" x14ac:dyDescent="0.2">
      <c r="K210" s="22"/>
    </row>
    <row r="211" spans="11:11" x14ac:dyDescent="0.2">
      <c r="K211" s="22"/>
    </row>
    <row r="212" spans="11:11" x14ac:dyDescent="0.2">
      <c r="K212" s="22"/>
    </row>
    <row r="213" spans="11:11" x14ac:dyDescent="0.2">
      <c r="K213" s="22"/>
    </row>
    <row r="214" spans="11:11" x14ac:dyDescent="0.2">
      <c r="K214" s="22"/>
    </row>
    <row r="215" spans="11:11" x14ac:dyDescent="0.2">
      <c r="K215" s="22"/>
    </row>
    <row r="216" spans="11:11" x14ac:dyDescent="0.2">
      <c r="K216" s="22"/>
    </row>
    <row r="217" spans="11:11" x14ac:dyDescent="0.2">
      <c r="K217" s="22"/>
    </row>
    <row r="218" spans="11:11" x14ac:dyDescent="0.2">
      <c r="K218" s="22"/>
    </row>
    <row r="219" spans="11:11" x14ac:dyDescent="0.2">
      <c r="K219" s="22"/>
    </row>
    <row r="220" spans="11:11" x14ac:dyDescent="0.2">
      <c r="K220" s="22"/>
    </row>
    <row r="221" spans="11:11" x14ac:dyDescent="0.2">
      <c r="K221" s="22"/>
    </row>
    <row r="222" spans="11:11" x14ac:dyDescent="0.2">
      <c r="K222" s="22"/>
    </row>
    <row r="223" spans="11:11" x14ac:dyDescent="0.2">
      <c r="K223" s="22"/>
    </row>
    <row r="224" spans="11:11" x14ac:dyDescent="0.2">
      <c r="K224" s="22"/>
    </row>
    <row r="225" spans="11:11" x14ac:dyDescent="0.2">
      <c r="K225" s="22"/>
    </row>
    <row r="226" spans="11:11" x14ac:dyDescent="0.2">
      <c r="K226" s="22"/>
    </row>
    <row r="227" spans="11:11" x14ac:dyDescent="0.2">
      <c r="K227" s="22"/>
    </row>
    <row r="228" spans="11:11" x14ac:dyDescent="0.2">
      <c r="K228" s="22"/>
    </row>
    <row r="229" spans="11:11" x14ac:dyDescent="0.2">
      <c r="K229" s="22"/>
    </row>
    <row r="230" spans="11:11" x14ac:dyDescent="0.2">
      <c r="K230" s="22"/>
    </row>
    <row r="231" spans="11:11" x14ac:dyDescent="0.2">
      <c r="K231" s="22"/>
    </row>
    <row r="232" spans="11:11" x14ac:dyDescent="0.2">
      <c r="K232" s="22"/>
    </row>
    <row r="233" spans="11:11" x14ac:dyDescent="0.2">
      <c r="K233" s="22"/>
    </row>
    <row r="234" spans="11:11" x14ac:dyDescent="0.2">
      <c r="K234" s="22"/>
    </row>
    <row r="235" spans="11:11" x14ac:dyDescent="0.2">
      <c r="K235" s="22"/>
    </row>
    <row r="236" spans="11:11" x14ac:dyDescent="0.2">
      <c r="K236" s="22"/>
    </row>
    <row r="237" spans="11:11" x14ac:dyDescent="0.2">
      <c r="K237" s="22"/>
    </row>
    <row r="238" spans="11:11" x14ac:dyDescent="0.2">
      <c r="K238" s="22"/>
    </row>
    <row r="239" spans="11:11" x14ac:dyDescent="0.2">
      <c r="K239" s="22"/>
    </row>
    <row r="240" spans="11:11" x14ac:dyDescent="0.2">
      <c r="K240" s="22"/>
    </row>
    <row r="241" spans="11:11" x14ac:dyDescent="0.2">
      <c r="K241" s="22"/>
    </row>
    <row r="242" spans="11:11" x14ac:dyDescent="0.2">
      <c r="K242" s="22"/>
    </row>
    <row r="243" spans="11:11" x14ac:dyDescent="0.2">
      <c r="K243" s="22"/>
    </row>
    <row r="244" spans="11:11" x14ac:dyDescent="0.2">
      <c r="K244" s="22"/>
    </row>
    <row r="245" spans="11:11" x14ac:dyDescent="0.2">
      <c r="K245" s="22"/>
    </row>
    <row r="246" spans="11:11" x14ac:dyDescent="0.2">
      <c r="K246" s="22"/>
    </row>
    <row r="247" spans="11:11" x14ac:dyDescent="0.2">
      <c r="K247" s="22"/>
    </row>
    <row r="248" spans="11:11" x14ac:dyDescent="0.2">
      <c r="K248" s="22"/>
    </row>
    <row r="249" spans="11:11" x14ac:dyDescent="0.2">
      <c r="K249" s="22"/>
    </row>
    <row r="250" spans="11:11" x14ac:dyDescent="0.2">
      <c r="K250" s="22"/>
    </row>
    <row r="251" spans="11:11" x14ac:dyDescent="0.2">
      <c r="K251" s="22"/>
    </row>
    <row r="252" spans="11:11" x14ac:dyDescent="0.2">
      <c r="K252" s="22"/>
    </row>
    <row r="253" spans="11:11" x14ac:dyDescent="0.2">
      <c r="K253" s="22"/>
    </row>
    <row r="254" spans="11:11" x14ac:dyDescent="0.2">
      <c r="K254" s="22"/>
    </row>
    <row r="255" spans="11:11" x14ac:dyDescent="0.2">
      <c r="K255" s="22"/>
    </row>
    <row r="256" spans="11:11" x14ac:dyDescent="0.2">
      <c r="K256" s="22"/>
    </row>
    <row r="257" spans="11:11" x14ac:dyDescent="0.2">
      <c r="K257" s="22"/>
    </row>
    <row r="258" spans="11:11" x14ac:dyDescent="0.2">
      <c r="K258" s="22"/>
    </row>
    <row r="259" spans="11:11" x14ac:dyDescent="0.2">
      <c r="K259" s="22"/>
    </row>
    <row r="260" spans="11:11" x14ac:dyDescent="0.2">
      <c r="K260" s="22"/>
    </row>
    <row r="261" spans="11:11" x14ac:dyDescent="0.2">
      <c r="K261" s="22"/>
    </row>
    <row r="262" spans="11:11" x14ac:dyDescent="0.2">
      <c r="K262" s="22"/>
    </row>
    <row r="263" spans="11:11" x14ac:dyDescent="0.2">
      <c r="K263" s="22"/>
    </row>
    <row r="264" spans="11:11" x14ac:dyDescent="0.2">
      <c r="K264" s="22"/>
    </row>
    <row r="265" spans="11:11" x14ac:dyDescent="0.2">
      <c r="K265" s="22"/>
    </row>
    <row r="266" spans="11:11" x14ac:dyDescent="0.2">
      <c r="K266" s="22"/>
    </row>
    <row r="267" spans="11:11" x14ac:dyDescent="0.2">
      <c r="K267" s="22"/>
    </row>
    <row r="268" spans="11:11" x14ac:dyDescent="0.2">
      <c r="K268" s="22"/>
    </row>
    <row r="269" spans="11:11" x14ac:dyDescent="0.2">
      <c r="K269" s="22"/>
    </row>
    <row r="270" spans="11:11" x14ac:dyDescent="0.2">
      <c r="K270" s="22"/>
    </row>
    <row r="271" spans="11:11" x14ac:dyDescent="0.2">
      <c r="K271" s="22"/>
    </row>
    <row r="272" spans="11:11" x14ac:dyDescent="0.2">
      <c r="K272" s="22"/>
    </row>
    <row r="273" spans="11:11" x14ac:dyDescent="0.2">
      <c r="K273" s="22"/>
    </row>
    <row r="274" spans="11:11" x14ac:dyDescent="0.2">
      <c r="K274" s="22"/>
    </row>
    <row r="275" spans="11:11" x14ac:dyDescent="0.2">
      <c r="K275" s="22"/>
    </row>
    <row r="276" spans="11:11" x14ac:dyDescent="0.2">
      <c r="K276" s="22"/>
    </row>
    <row r="277" spans="11:11" x14ac:dyDescent="0.2">
      <c r="K277" s="22"/>
    </row>
    <row r="278" spans="11:11" x14ac:dyDescent="0.2">
      <c r="K278" s="22"/>
    </row>
    <row r="279" spans="11:11" x14ac:dyDescent="0.2">
      <c r="K279" s="22"/>
    </row>
    <row r="280" spans="11:11" x14ac:dyDescent="0.2">
      <c r="K280" s="22"/>
    </row>
    <row r="281" spans="11:11" x14ac:dyDescent="0.2">
      <c r="K281" s="22"/>
    </row>
    <row r="282" spans="11:11" x14ac:dyDescent="0.2">
      <c r="K282" s="22"/>
    </row>
    <row r="283" spans="11:11" x14ac:dyDescent="0.2">
      <c r="K283" s="22"/>
    </row>
    <row r="284" spans="11:11" x14ac:dyDescent="0.2">
      <c r="K284" s="22"/>
    </row>
    <row r="285" spans="11:11" x14ac:dyDescent="0.2">
      <c r="K285" s="22"/>
    </row>
    <row r="286" spans="11:11" x14ac:dyDescent="0.2">
      <c r="K286" s="22"/>
    </row>
    <row r="287" spans="11:11" x14ac:dyDescent="0.2">
      <c r="K287" s="22"/>
    </row>
    <row r="288" spans="11:11" x14ac:dyDescent="0.2">
      <c r="K288" s="22"/>
    </row>
    <row r="289" spans="11:11" x14ac:dyDescent="0.2">
      <c r="K289" s="22"/>
    </row>
    <row r="290" spans="11:11" x14ac:dyDescent="0.2">
      <c r="K290" s="22"/>
    </row>
    <row r="291" spans="11:11" x14ac:dyDescent="0.2">
      <c r="K291" s="22"/>
    </row>
    <row r="292" spans="11:11" x14ac:dyDescent="0.2">
      <c r="K292" s="22"/>
    </row>
    <row r="293" spans="11:11" x14ac:dyDescent="0.2">
      <c r="K293" s="22"/>
    </row>
    <row r="294" spans="11:11" x14ac:dyDescent="0.2">
      <c r="K294" s="22"/>
    </row>
    <row r="295" spans="11:11" x14ac:dyDescent="0.2">
      <c r="K295" s="22"/>
    </row>
    <row r="296" spans="11:11" x14ac:dyDescent="0.2">
      <c r="K296" s="22"/>
    </row>
    <row r="297" spans="11:11" x14ac:dyDescent="0.2">
      <c r="K297" s="22"/>
    </row>
    <row r="298" spans="11:11" x14ac:dyDescent="0.2">
      <c r="K298" s="22"/>
    </row>
    <row r="299" spans="11:11" x14ac:dyDescent="0.2">
      <c r="K299" s="22"/>
    </row>
    <row r="300" spans="11:11" x14ac:dyDescent="0.2">
      <c r="K300" s="22"/>
    </row>
    <row r="301" spans="11:11" x14ac:dyDescent="0.2">
      <c r="K301" s="22"/>
    </row>
    <row r="302" spans="11:11" x14ac:dyDescent="0.2">
      <c r="K302" s="22"/>
    </row>
    <row r="303" spans="11:11" x14ac:dyDescent="0.2">
      <c r="K303" s="22"/>
    </row>
    <row r="304" spans="11:11" x14ac:dyDescent="0.2">
      <c r="K304" s="22"/>
    </row>
    <row r="305" spans="11:11" x14ac:dyDescent="0.2">
      <c r="K305" s="22"/>
    </row>
    <row r="306" spans="11:11" x14ac:dyDescent="0.2">
      <c r="K306" s="22"/>
    </row>
    <row r="307" spans="11:11" x14ac:dyDescent="0.2">
      <c r="K307" s="22"/>
    </row>
    <row r="308" spans="11:11" x14ac:dyDescent="0.2">
      <c r="K308" s="22"/>
    </row>
    <row r="309" spans="11:11" x14ac:dyDescent="0.2">
      <c r="K309" s="22"/>
    </row>
    <row r="310" spans="11:11" x14ac:dyDescent="0.2">
      <c r="K310" s="22"/>
    </row>
    <row r="311" spans="11:11" x14ac:dyDescent="0.2">
      <c r="K311" s="22"/>
    </row>
    <row r="312" spans="11:11" x14ac:dyDescent="0.2">
      <c r="K312" s="22"/>
    </row>
    <row r="313" spans="11:11" x14ac:dyDescent="0.2">
      <c r="K313" s="22"/>
    </row>
    <row r="314" spans="11:11" x14ac:dyDescent="0.2">
      <c r="K314" s="22"/>
    </row>
    <row r="315" spans="11:11" x14ac:dyDescent="0.2">
      <c r="K315" s="22"/>
    </row>
    <row r="316" spans="11:11" x14ac:dyDescent="0.2">
      <c r="K316" s="22"/>
    </row>
    <row r="317" spans="11:11" x14ac:dyDescent="0.2">
      <c r="K317" s="22"/>
    </row>
    <row r="318" spans="11:11" x14ac:dyDescent="0.2">
      <c r="K318" s="22"/>
    </row>
    <row r="319" spans="11:11" x14ac:dyDescent="0.2">
      <c r="K319" s="22"/>
    </row>
    <row r="320" spans="11:11" x14ac:dyDescent="0.2">
      <c r="K320" s="22"/>
    </row>
    <row r="321" spans="11:11" x14ac:dyDescent="0.2">
      <c r="K321" s="22"/>
    </row>
    <row r="322" spans="11:11" x14ac:dyDescent="0.2">
      <c r="K322" s="22"/>
    </row>
    <row r="323" spans="11:11" x14ac:dyDescent="0.2">
      <c r="K323" s="22"/>
    </row>
    <row r="324" spans="11:11" x14ac:dyDescent="0.2">
      <c r="K324" s="22"/>
    </row>
    <row r="325" spans="11:11" x14ac:dyDescent="0.2">
      <c r="K325" s="22"/>
    </row>
    <row r="326" spans="11:11" x14ac:dyDescent="0.2">
      <c r="K326" s="22"/>
    </row>
    <row r="327" spans="11:11" x14ac:dyDescent="0.2">
      <c r="K327" s="22"/>
    </row>
    <row r="328" spans="11:11" x14ac:dyDescent="0.2">
      <c r="K328" s="22"/>
    </row>
    <row r="329" spans="11:11" x14ac:dyDescent="0.2">
      <c r="K329" s="22"/>
    </row>
    <row r="330" spans="11:11" x14ac:dyDescent="0.2">
      <c r="K330" s="22"/>
    </row>
    <row r="331" spans="11:11" x14ac:dyDescent="0.2">
      <c r="K331" s="22"/>
    </row>
    <row r="332" spans="11:11" x14ac:dyDescent="0.2">
      <c r="K332" s="22"/>
    </row>
    <row r="333" spans="11:11" x14ac:dyDescent="0.2">
      <c r="K333" s="22"/>
    </row>
    <row r="334" spans="11:11" x14ac:dyDescent="0.2">
      <c r="K334" s="22"/>
    </row>
    <row r="335" spans="11:11" x14ac:dyDescent="0.2">
      <c r="K335" s="22"/>
    </row>
    <row r="336" spans="11:11" x14ac:dyDescent="0.2">
      <c r="K336" s="22"/>
    </row>
    <row r="337" spans="11:11" x14ac:dyDescent="0.2">
      <c r="K337" s="22"/>
    </row>
    <row r="338" spans="11:11" x14ac:dyDescent="0.2">
      <c r="K338" s="22"/>
    </row>
    <row r="339" spans="11:11" x14ac:dyDescent="0.2">
      <c r="K339" s="22"/>
    </row>
    <row r="340" spans="11:11" x14ac:dyDescent="0.2">
      <c r="K340" s="22"/>
    </row>
    <row r="341" spans="11:11" x14ac:dyDescent="0.2">
      <c r="K341" s="22"/>
    </row>
    <row r="342" spans="11:11" x14ac:dyDescent="0.2">
      <c r="K342" s="22"/>
    </row>
    <row r="343" spans="11:11" x14ac:dyDescent="0.2">
      <c r="K343" s="22"/>
    </row>
    <row r="344" spans="11:11" x14ac:dyDescent="0.2">
      <c r="K344" s="22"/>
    </row>
    <row r="345" spans="11:11" x14ac:dyDescent="0.2">
      <c r="K345" s="22"/>
    </row>
    <row r="346" spans="11:11" x14ac:dyDescent="0.2">
      <c r="K346" s="22"/>
    </row>
    <row r="347" spans="11:11" x14ac:dyDescent="0.2">
      <c r="K347" s="22"/>
    </row>
    <row r="348" spans="11:11" x14ac:dyDescent="0.2">
      <c r="K348" s="22"/>
    </row>
    <row r="349" spans="11:11" x14ac:dyDescent="0.2">
      <c r="K349" s="22"/>
    </row>
    <row r="350" spans="11:11" x14ac:dyDescent="0.2">
      <c r="K350" s="22"/>
    </row>
    <row r="351" spans="11:11" x14ac:dyDescent="0.2">
      <c r="K351" s="22"/>
    </row>
    <row r="352" spans="11:11" x14ac:dyDescent="0.2">
      <c r="K352" s="22"/>
    </row>
    <row r="353" spans="11:11" x14ac:dyDescent="0.2">
      <c r="K353" s="22"/>
    </row>
    <row r="354" spans="11:11" x14ac:dyDescent="0.2">
      <c r="K354" s="22"/>
    </row>
    <row r="355" spans="11:11" x14ac:dyDescent="0.2">
      <c r="K355" s="22"/>
    </row>
    <row r="356" spans="11:11" x14ac:dyDescent="0.2">
      <c r="K356" s="22"/>
    </row>
    <row r="357" spans="11:11" x14ac:dyDescent="0.2">
      <c r="K357" s="22"/>
    </row>
    <row r="358" spans="11:11" x14ac:dyDescent="0.2">
      <c r="K358" s="22"/>
    </row>
    <row r="359" spans="11:11" x14ac:dyDescent="0.2">
      <c r="K359" s="22"/>
    </row>
    <row r="360" spans="11:11" x14ac:dyDescent="0.2">
      <c r="K360" s="22"/>
    </row>
    <row r="361" spans="11:11" x14ac:dyDescent="0.2">
      <c r="K361" s="22"/>
    </row>
    <row r="362" spans="11:11" x14ac:dyDescent="0.2">
      <c r="K362" s="22"/>
    </row>
    <row r="363" spans="11:11" x14ac:dyDescent="0.2">
      <c r="K363" s="22"/>
    </row>
    <row r="364" spans="11:11" x14ac:dyDescent="0.2">
      <c r="K364" s="22"/>
    </row>
    <row r="365" spans="11:11" x14ac:dyDescent="0.2">
      <c r="K365" s="22"/>
    </row>
    <row r="366" spans="11:11" x14ac:dyDescent="0.2">
      <c r="K366" s="22"/>
    </row>
    <row r="367" spans="11:11" x14ac:dyDescent="0.2">
      <c r="K367" s="22"/>
    </row>
    <row r="368" spans="11:11" x14ac:dyDescent="0.2">
      <c r="K368" s="22"/>
    </row>
    <row r="369" spans="11:11" x14ac:dyDescent="0.2">
      <c r="K369" s="22"/>
    </row>
    <row r="370" spans="11:11" x14ac:dyDescent="0.2">
      <c r="K370" s="22"/>
    </row>
    <row r="371" spans="11:11" x14ac:dyDescent="0.2">
      <c r="K371" s="22"/>
    </row>
    <row r="372" spans="11:11" x14ac:dyDescent="0.2">
      <c r="K372" s="22"/>
    </row>
    <row r="373" spans="11:11" x14ac:dyDescent="0.2">
      <c r="K373" s="22"/>
    </row>
    <row r="374" spans="11:11" x14ac:dyDescent="0.2">
      <c r="K374" s="22"/>
    </row>
    <row r="375" spans="11:11" x14ac:dyDescent="0.2">
      <c r="K375" s="22"/>
    </row>
    <row r="376" spans="11:11" x14ac:dyDescent="0.2">
      <c r="K376" s="22"/>
    </row>
    <row r="377" spans="11:11" x14ac:dyDescent="0.2">
      <c r="K377" s="22"/>
    </row>
    <row r="378" spans="11:11" x14ac:dyDescent="0.2">
      <c r="K378" s="22"/>
    </row>
    <row r="379" spans="11:11" x14ac:dyDescent="0.2">
      <c r="K379" s="22"/>
    </row>
    <row r="380" spans="11:11" x14ac:dyDescent="0.2">
      <c r="K380" s="22"/>
    </row>
    <row r="381" spans="11:11" x14ac:dyDescent="0.2">
      <c r="K381" s="22"/>
    </row>
    <row r="382" spans="11:11" x14ac:dyDescent="0.2">
      <c r="K382" s="22"/>
    </row>
    <row r="383" spans="11:11" x14ac:dyDescent="0.2">
      <c r="K383" s="22"/>
    </row>
    <row r="384" spans="11:11" x14ac:dyDescent="0.2">
      <c r="K384" s="22"/>
    </row>
    <row r="385" spans="11:11" x14ac:dyDescent="0.2">
      <c r="K385" s="22"/>
    </row>
    <row r="386" spans="11:11" x14ac:dyDescent="0.2">
      <c r="K386" s="22"/>
    </row>
    <row r="387" spans="11:11" x14ac:dyDescent="0.2">
      <c r="K387" s="22"/>
    </row>
    <row r="388" spans="11:11" x14ac:dyDescent="0.2">
      <c r="K388" s="22"/>
    </row>
    <row r="389" spans="11:11" x14ac:dyDescent="0.2">
      <c r="K389" s="22"/>
    </row>
    <row r="390" spans="11:11" x14ac:dyDescent="0.2">
      <c r="K390" s="22"/>
    </row>
    <row r="391" spans="11:11" x14ac:dyDescent="0.2">
      <c r="K391" s="22"/>
    </row>
    <row r="392" spans="11:11" x14ac:dyDescent="0.2">
      <c r="K392" s="22"/>
    </row>
    <row r="393" spans="11:11" x14ac:dyDescent="0.2">
      <c r="K393" s="22"/>
    </row>
    <row r="394" spans="11:11" x14ac:dyDescent="0.2">
      <c r="K394" s="22"/>
    </row>
    <row r="395" spans="11:11" x14ac:dyDescent="0.2">
      <c r="K395" s="22"/>
    </row>
    <row r="396" spans="11:11" x14ac:dyDescent="0.2">
      <c r="K396" s="22"/>
    </row>
    <row r="397" spans="11:11" x14ac:dyDescent="0.2">
      <c r="K397" s="22"/>
    </row>
    <row r="398" spans="11:11" x14ac:dyDescent="0.2">
      <c r="K398" s="22"/>
    </row>
    <row r="399" spans="11:11" x14ac:dyDescent="0.2">
      <c r="K399" s="22"/>
    </row>
    <row r="400" spans="11:11" x14ac:dyDescent="0.2">
      <c r="K400" s="22"/>
    </row>
    <row r="401" spans="11:11" x14ac:dyDescent="0.2">
      <c r="K401" s="22"/>
    </row>
    <row r="402" spans="11:11" x14ac:dyDescent="0.2">
      <c r="K402" s="22"/>
    </row>
    <row r="403" spans="11:11" x14ac:dyDescent="0.2">
      <c r="K403" s="22"/>
    </row>
    <row r="404" spans="11:11" x14ac:dyDescent="0.2">
      <c r="K404" s="22"/>
    </row>
    <row r="405" spans="11:11" x14ac:dyDescent="0.2">
      <c r="K405" s="22"/>
    </row>
    <row r="406" spans="11:11" x14ac:dyDescent="0.2">
      <c r="K406" s="22"/>
    </row>
    <row r="407" spans="11:11" x14ac:dyDescent="0.2">
      <c r="K407" s="22"/>
    </row>
    <row r="408" spans="11:11" x14ac:dyDescent="0.2">
      <c r="K408" s="22"/>
    </row>
    <row r="409" spans="11:11" x14ac:dyDescent="0.2">
      <c r="K409" s="22"/>
    </row>
    <row r="410" spans="11:11" x14ac:dyDescent="0.2">
      <c r="K410" s="22"/>
    </row>
    <row r="411" spans="11:11" x14ac:dyDescent="0.2">
      <c r="K411" s="22"/>
    </row>
    <row r="412" spans="11:11" x14ac:dyDescent="0.2">
      <c r="K412" s="22"/>
    </row>
    <row r="413" spans="11:11" x14ac:dyDescent="0.2">
      <c r="K413" s="22"/>
    </row>
    <row r="414" spans="11:11" x14ac:dyDescent="0.2">
      <c r="K414" s="22"/>
    </row>
    <row r="415" spans="11:11" x14ac:dyDescent="0.2">
      <c r="K415" s="22"/>
    </row>
    <row r="416" spans="11:11" x14ac:dyDescent="0.2">
      <c r="K416" s="22"/>
    </row>
    <row r="417" spans="11:11" x14ac:dyDescent="0.2">
      <c r="K417" s="22"/>
    </row>
    <row r="418" spans="11:11" x14ac:dyDescent="0.2">
      <c r="K418" s="22"/>
    </row>
    <row r="419" spans="11:11" x14ac:dyDescent="0.2">
      <c r="K419" s="22"/>
    </row>
    <row r="420" spans="11:11" x14ac:dyDescent="0.2">
      <c r="K420" s="22"/>
    </row>
    <row r="421" spans="11:11" x14ac:dyDescent="0.2">
      <c r="K421" s="22"/>
    </row>
    <row r="422" spans="11:11" x14ac:dyDescent="0.2">
      <c r="K422" s="22"/>
    </row>
    <row r="423" spans="11:11" x14ac:dyDescent="0.2">
      <c r="K423" s="22"/>
    </row>
    <row r="424" spans="11:11" x14ac:dyDescent="0.2">
      <c r="K424" s="22"/>
    </row>
    <row r="425" spans="11:11" x14ac:dyDescent="0.2">
      <c r="K425" s="22"/>
    </row>
    <row r="426" spans="11:11" x14ac:dyDescent="0.2">
      <c r="K426" s="22"/>
    </row>
    <row r="427" spans="11:11" x14ac:dyDescent="0.2">
      <c r="K427" s="22"/>
    </row>
    <row r="428" spans="11:11" x14ac:dyDescent="0.2">
      <c r="K428" s="22"/>
    </row>
    <row r="429" spans="11:11" x14ac:dyDescent="0.2">
      <c r="K429" s="22"/>
    </row>
    <row r="430" spans="11:11" x14ac:dyDescent="0.2">
      <c r="K430" s="22"/>
    </row>
    <row r="431" spans="11:11" x14ac:dyDescent="0.2">
      <c r="K431" s="22"/>
    </row>
    <row r="432" spans="11:11" x14ac:dyDescent="0.2">
      <c r="K432" s="22"/>
    </row>
    <row r="433" spans="11:11" x14ac:dyDescent="0.2">
      <c r="K433" s="22"/>
    </row>
    <row r="434" spans="11:11" x14ac:dyDescent="0.2">
      <c r="K434" s="22"/>
    </row>
    <row r="435" spans="11:11" x14ac:dyDescent="0.2">
      <c r="K435" s="22"/>
    </row>
    <row r="436" spans="11:11" x14ac:dyDescent="0.2">
      <c r="K436" s="22"/>
    </row>
    <row r="437" spans="11:11" x14ac:dyDescent="0.2">
      <c r="K437" s="22"/>
    </row>
    <row r="438" spans="11:11" x14ac:dyDescent="0.2">
      <c r="K438" s="22"/>
    </row>
    <row r="439" spans="11:11" x14ac:dyDescent="0.2">
      <c r="K439" s="22"/>
    </row>
    <row r="440" spans="11:11" x14ac:dyDescent="0.2">
      <c r="K440" s="22"/>
    </row>
    <row r="441" spans="11:11" x14ac:dyDescent="0.2">
      <c r="K441" s="22"/>
    </row>
    <row r="442" spans="11:11" x14ac:dyDescent="0.2">
      <c r="K442" s="22"/>
    </row>
    <row r="443" spans="11:11" x14ac:dyDescent="0.2">
      <c r="K443" s="22"/>
    </row>
    <row r="444" spans="11:11" x14ac:dyDescent="0.2">
      <c r="K444" s="22"/>
    </row>
    <row r="445" spans="11:11" x14ac:dyDescent="0.2">
      <c r="K445" s="22"/>
    </row>
    <row r="446" spans="11:11" x14ac:dyDescent="0.2">
      <c r="K446" s="22"/>
    </row>
    <row r="447" spans="11:11" x14ac:dyDescent="0.2">
      <c r="K447" s="22"/>
    </row>
    <row r="448" spans="11:11" x14ac:dyDescent="0.2">
      <c r="K448" s="22"/>
    </row>
    <row r="449" spans="11:11" x14ac:dyDescent="0.2">
      <c r="K449" s="22"/>
    </row>
    <row r="450" spans="11:11" x14ac:dyDescent="0.2">
      <c r="K450" s="22"/>
    </row>
    <row r="451" spans="11:11" x14ac:dyDescent="0.2">
      <c r="K451" s="22"/>
    </row>
    <row r="452" spans="11:11" x14ac:dyDescent="0.2">
      <c r="K452" s="22"/>
    </row>
    <row r="453" spans="11:11" x14ac:dyDescent="0.2">
      <c r="K453" s="22"/>
    </row>
    <row r="454" spans="11:11" x14ac:dyDescent="0.2">
      <c r="K454" s="22"/>
    </row>
    <row r="455" spans="11:11" x14ac:dyDescent="0.2">
      <c r="K455" s="22"/>
    </row>
    <row r="456" spans="11:11" x14ac:dyDescent="0.2">
      <c r="K456" s="22"/>
    </row>
    <row r="457" spans="11:11" x14ac:dyDescent="0.2">
      <c r="K457" s="22"/>
    </row>
    <row r="458" spans="11:11" x14ac:dyDescent="0.2">
      <c r="K458" s="22"/>
    </row>
    <row r="459" spans="11:11" x14ac:dyDescent="0.2">
      <c r="K459" s="22"/>
    </row>
    <row r="460" spans="11:11" x14ac:dyDescent="0.2">
      <c r="K460" s="22"/>
    </row>
    <row r="461" spans="11:11" x14ac:dyDescent="0.2">
      <c r="K461" s="22"/>
    </row>
    <row r="462" spans="11:11" x14ac:dyDescent="0.2">
      <c r="K462" s="22"/>
    </row>
    <row r="463" spans="11:11" x14ac:dyDescent="0.2">
      <c r="K463" s="22"/>
    </row>
    <row r="464" spans="11:11" x14ac:dyDescent="0.2">
      <c r="K464" s="22"/>
    </row>
    <row r="465" spans="11:11" x14ac:dyDescent="0.2">
      <c r="K465" s="22"/>
    </row>
    <row r="466" spans="11:11" x14ac:dyDescent="0.2">
      <c r="K466" s="22"/>
    </row>
    <row r="467" spans="11:11" x14ac:dyDescent="0.2">
      <c r="K467" s="22"/>
    </row>
    <row r="468" spans="11:11" x14ac:dyDescent="0.2">
      <c r="K468" s="22"/>
    </row>
    <row r="469" spans="11:11" x14ac:dyDescent="0.2">
      <c r="K469" s="22"/>
    </row>
    <row r="470" spans="11:11" x14ac:dyDescent="0.2">
      <c r="K470" s="22"/>
    </row>
    <row r="471" spans="11:11" x14ac:dyDescent="0.2">
      <c r="K471" s="22"/>
    </row>
    <row r="472" spans="11:11" x14ac:dyDescent="0.2">
      <c r="K472" s="22"/>
    </row>
    <row r="473" spans="11:11" x14ac:dyDescent="0.2">
      <c r="K473" s="22"/>
    </row>
    <row r="474" spans="11:11" x14ac:dyDescent="0.2">
      <c r="K474" s="22"/>
    </row>
    <row r="475" spans="11:11" x14ac:dyDescent="0.2">
      <c r="K475" s="22"/>
    </row>
    <row r="476" spans="11:11" x14ac:dyDescent="0.2">
      <c r="K476" s="22"/>
    </row>
    <row r="477" spans="11:11" x14ac:dyDescent="0.2">
      <c r="K477" s="22"/>
    </row>
    <row r="478" spans="11:11" x14ac:dyDescent="0.2">
      <c r="K478" s="22"/>
    </row>
    <row r="479" spans="11:11" x14ac:dyDescent="0.2">
      <c r="K479" s="22"/>
    </row>
    <row r="480" spans="11:11" x14ac:dyDescent="0.2">
      <c r="K480" s="22"/>
    </row>
    <row r="481" spans="11:11" x14ac:dyDescent="0.2">
      <c r="K481" s="22"/>
    </row>
    <row r="482" spans="11:11" x14ac:dyDescent="0.2">
      <c r="K482" s="22"/>
    </row>
    <row r="483" spans="11:11" x14ac:dyDescent="0.2">
      <c r="K483" s="22"/>
    </row>
    <row r="484" spans="11:11" x14ac:dyDescent="0.2">
      <c r="K484" s="22"/>
    </row>
    <row r="485" spans="11:11" x14ac:dyDescent="0.2">
      <c r="K485" s="22"/>
    </row>
    <row r="486" spans="11:11" x14ac:dyDescent="0.2">
      <c r="K486" s="22"/>
    </row>
    <row r="487" spans="11:11" x14ac:dyDescent="0.2">
      <c r="K487" s="22"/>
    </row>
    <row r="488" spans="11:11" x14ac:dyDescent="0.2">
      <c r="K488" s="22"/>
    </row>
    <row r="489" spans="11:11" x14ac:dyDescent="0.2">
      <c r="K489" s="22"/>
    </row>
    <row r="490" spans="11:11" x14ac:dyDescent="0.2">
      <c r="K490" s="22"/>
    </row>
    <row r="491" spans="11:11" x14ac:dyDescent="0.2">
      <c r="K491" s="22"/>
    </row>
    <row r="492" spans="11:11" x14ac:dyDescent="0.2">
      <c r="K492" s="22"/>
    </row>
    <row r="493" spans="11:11" x14ac:dyDescent="0.2">
      <c r="K493" s="22"/>
    </row>
    <row r="494" spans="11:11" x14ac:dyDescent="0.2">
      <c r="K494" s="22"/>
    </row>
    <row r="495" spans="11:11" x14ac:dyDescent="0.2">
      <c r="K495" s="22"/>
    </row>
    <row r="496" spans="11:11" x14ac:dyDescent="0.2">
      <c r="K496" s="22"/>
    </row>
    <row r="497" spans="11:11" x14ac:dyDescent="0.2">
      <c r="K497" s="22"/>
    </row>
    <row r="498" spans="11:11" x14ac:dyDescent="0.2">
      <c r="K498" s="22"/>
    </row>
    <row r="499" spans="11:11" x14ac:dyDescent="0.2">
      <c r="K499" s="22"/>
    </row>
    <row r="500" spans="11:11" x14ac:dyDescent="0.2">
      <c r="K500" s="22"/>
    </row>
    <row r="501" spans="11:11" x14ac:dyDescent="0.2">
      <c r="K501" s="22"/>
    </row>
    <row r="502" spans="11:11" x14ac:dyDescent="0.2">
      <c r="K502" s="22"/>
    </row>
    <row r="503" spans="11:11" x14ac:dyDescent="0.2">
      <c r="K503" s="22"/>
    </row>
    <row r="504" spans="11:11" x14ac:dyDescent="0.2">
      <c r="K504" s="22"/>
    </row>
    <row r="505" spans="11:11" x14ac:dyDescent="0.2">
      <c r="K505" s="22"/>
    </row>
    <row r="506" spans="11:11" x14ac:dyDescent="0.2">
      <c r="K506" s="22"/>
    </row>
    <row r="507" spans="11:11" x14ac:dyDescent="0.2">
      <c r="K507" s="22"/>
    </row>
    <row r="508" spans="11:11" x14ac:dyDescent="0.2">
      <c r="K508" s="22"/>
    </row>
    <row r="509" spans="11:11" x14ac:dyDescent="0.2">
      <c r="K509" s="22"/>
    </row>
    <row r="510" spans="11:11" x14ac:dyDescent="0.2">
      <c r="K510" s="22"/>
    </row>
    <row r="511" spans="11:11" x14ac:dyDescent="0.2">
      <c r="K511" s="22"/>
    </row>
    <row r="512" spans="11:11" x14ac:dyDescent="0.2">
      <c r="K512" s="22"/>
    </row>
    <row r="513" spans="11:11" x14ac:dyDescent="0.2">
      <c r="K513" s="22"/>
    </row>
    <row r="514" spans="11:11" x14ac:dyDescent="0.2">
      <c r="K514" s="22"/>
    </row>
    <row r="515" spans="11:11" x14ac:dyDescent="0.2">
      <c r="K515" s="22"/>
    </row>
    <row r="516" spans="11:11" x14ac:dyDescent="0.2">
      <c r="K516" s="22"/>
    </row>
    <row r="517" spans="11:11" x14ac:dyDescent="0.2">
      <c r="K517" s="22"/>
    </row>
    <row r="518" spans="11:11" x14ac:dyDescent="0.2">
      <c r="K518" s="22"/>
    </row>
    <row r="519" spans="11:11" x14ac:dyDescent="0.2">
      <c r="K519" s="22"/>
    </row>
    <row r="520" spans="11:11" x14ac:dyDescent="0.2">
      <c r="K520" s="22"/>
    </row>
    <row r="521" spans="11:11" x14ac:dyDescent="0.2">
      <c r="K521" s="22"/>
    </row>
    <row r="522" spans="11:11" x14ac:dyDescent="0.2">
      <c r="K522" s="22"/>
    </row>
    <row r="523" spans="11:11" x14ac:dyDescent="0.2">
      <c r="K523" s="22"/>
    </row>
    <row r="524" spans="11:11" x14ac:dyDescent="0.2">
      <c r="K524" s="22"/>
    </row>
    <row r="525" spans="11:11" x14ac:dyDescent="0.2">
      <c r="K525" s="22"/>
    </row>
    <row r="526" spans="11:11" x14ac:dyDescent="0.2">
      <c r="K526" s="22"/>
    </row>
    <row r="527" spans="11:11" x14ac:dyDescent="0.2">
      <c r="K527" s="22"/>
    </row>
    <row r="528" spans="11:11" x14ac:dyDescent="0.2">
      <c r="K528" s="22"/>
    </row>
    <row r="529" spans="11:11" x14ac:dyDescent="0.2">
      <c r="K529" s="22"/>
    </row>
    <row r="530" spans="11:11" x14ac:dyDescent="0.2">
      <c r="K530" s="22"/>
    </row>
    <row r="531" spans="11:11" x14ac:dyDescent="0.2">
      <c r="K531" s="22"/>
    </row>
    <row r="532" spans="11:11" x14ac:dyDescent="0.2">
      <c r="K532" s="22"/>
    </row>
    <row r="533" spans="11:11" x14ac:dyDescent="0.2">
      <c r="K533" s="22"/>
    </row>
    <row r="534" spans="11:11" x14ac:dyDescent="0.2">
      <c r="K534" s="22"/>
    </row>
    <row r="535" spans="11:11" x14ac:dyDescent="0.2">
      <c r="K535" s="22"/>
    </row>
    <row r="536" spans="11:11" x14ac:dyDescent="0.2">
      <c r="K536" s="22"/>
    </row>
    <row r="537" spans="11:11" x14ac:dyDescent="0.2">
      <c r="K537" s="22"/>
    </row>
    <row r="538" spans="11:11" x14ac:dyDescent="0.2">
      <c r="K538" s="22"/>
    </row>
    <row r="539" spans="11:11" x14ac:dyDescent="0.2">
      <c r="K539" s="22"/>
    </row>
    <row r="540" spans="11:11" x14ac:dyDescent="0.2">
      <c r="K540" s="22"/>
    </row>
    <row r="541" spans="11:11" x14ac:dyDescent="0.2">
      <c r="K541" s="22"/>
    </row>
    <row r="542" spans="11:11" x14ac:dyDescent="0.2">
      <c r="K542" s="22"/>
    </row>
    <row r="543" spans="11:11" x14ac:dyDescent="0.2">
      <c r="K543" s="22"/>
    </row>
    <row r="544" spans="11:11" x14ac:dyDescent="0.2">
      <c r="K544" s="22"/>
    </row>
    <row r="545" spans="11:11" x14ac:dyDescent="0.2">
      <c r="K545" s="22"/>
    </row>
    <row r="546" spans="11:11" x14ac:dyDescent="0.2">
      <c r="K546" s="22"/>
    </row>
    <row r="547" spans="11:11" x14ac:dyDescent="0.2">
      <c r="K547" s="22"/>
    </row>
    <row r="548" spans="11:11" x14ac:dyDescent="0.2">
      <c r="K548" s="22"/>
    </row>
    <row r="549" spans="11:11" x14ac:dyDescent="0.2">
      <c r="K549" s="22"/>
    </row>
    <row r="550" spans="11:11" x14ac:dyDescent="0.2">
      <c r="K550" s="22"/>
    </row>
    <row r="551" spans="11:11" x14ac:dyDescent="0.2">
      <c r="K551" s="22"/>
    </row>
    <row r="552" spans="11:11" x14ac:dyDescent="0.2">
      <c r="K552" s="22"/>
    </row>
    <row r="553" spans="11:11" x14ac:dyDescent="0.2">
      <c r="K553" s="22"/>
    </row>
    <row r="554" spans="11:11" x14ac:dyDescent="0.2">
      <c r="K554" s="22"/>
    </row>
    <row r="555" spans="11:11" x14ac:dyDescent="0.2">
      <c r="K555" s="22"/>
    </row>
    <row r="556" spans="11:11" x14ac:dyDescent="0.2">
      <c r="K556" s="22"/>
    </row>
    <row r="557" spans="11:11" x14ac:dyDescent="0.2">
      <c r="K557" s="22"/>
    </row>
    <row r="558" spans="11:11" x14ac:dyDescent="0.2">
      <c r="K558" s="22"/>
    </row>
    <row r="559" spans="11:11" x14ac:dyDescent="0.2">
      <c r="K559" s="22"/>
    </row>
    <row r="560" spans="11:11" x14ac:dyDescent="0.2">
      <c r="K560" s="22"/>
    </row>
    <row r="561" spans="11:11" x14ac:dyDescent="0.2">
      <c r="K561" s="22"/>
    </row>
    <row r="562" spans="11:11" x14ac:dyDescent="0.2">
      <c r="K562" s="22"/>
    </row>
    <row r="563" spans="11:11" x14ac:dyDescent="0.2">
      <c r="K563" s="22"/>
    </row>
    <row r="564" spans="11:11" x14ac:dyDescent="0.2">
      <c r="K564" s="22"/>
    </row>
    <row r="565" spans="11:11" x14ac:dyDescent="0.2">
      <c r="K565" s="22"/>
    </row>
    <row r="566" spans="11:11" x14ac:dyDescent="0.2">
      <c r="K566" s="22"/>
    </row>
    <row r="567" spans="11:11" x14ac:dyDescent="0.2">
      <c r="K567" s="22"/>
    </row>
    <row r="568" spans="11:11" x14ac:dyDescent="0.2">
      <c r="K568" s="22"/>
    </row>
    <row r="569" spans="11:11" x14ac:dyDescent="0.2">
      <c r="K569" s="22"/>
    </row>
    <row r="570" spans="11:11" x14ac:dyDescent="0.2">
      <c r="K570" s="22"/>
    </row>
    <row r="571" spans="11:11" x14ac:dyDescent="0.2">
      <c r="K571" s="22"/>
    </row>
    <row r="572" spans="11:11" x14ac:dyDescent="0.2">
      <c r="K572" s="22"/>
    </row>
    <row r="573" spans="11:11" x14ac:dyDescent="0.2">
      <c r="K573" s="22"/>
    </row>
    <row r="574" spans="11:11" x14ac:dyDescent="0.2">
      <c r="K574" s="22"/>
    </row>
    <row r="575" spans="11:11" x14ac:dyDescent="0.2">
      <c r="K575" s="22"/>
    </row>
    <row r="576" spans="11:11" x14ac:dyDescent="0.2">
      <c r="K576" s="22"/>
    </row>
    <row r="577" spans="11:11" x14ac:dyDescent="0.2">
      <c r="K577" s="22"/>
    </row>
    <row r="578" spans="11:11" x14ac:dyDescent="0.2">
      <c r="K578" s="22"/>
    </row>
    <row r="579" spans="11:11" x14ac:dyDescent="0.2">
      <c r="K579" s="22"/>
    </row>
    <row r="580" spans="11:11" x14ac:dyDescent="0.2">
      <c r="K580" s="22"/>
    </row>
    <row r="581" spans="11:11" x14ac:dyDescent="0.2">
      <c r="K581" s="22"/>
    </row>
    <row r="582" spans="11:11" x14ac:dyDescent="0.2">
      <c r="K582" s="22"/>
    </row>
    <row r="583" spans="11:11" x14ac:dyDescent="0.2">
      <c r="K583" s="22"/>
    </row>
    <row r="584" spans="11:11" x14ac:dyDescent="0.2">
      <c r="K584" s="22"/>
    </row>
    <row r="585" spans="11:11" x14ac:dyDescent="0.2">
      <c r="K585" s="22"/>
    </row>
    <row r="586" spans="11:11" x14ac:dyDescent="0.2">
      <c r="K586" s="22"/>
    </row>
    <row r="587" spans="11:11" x14ac:dyDescent="0.2">
      <c r="K587" s="22"/>
    </row>
    <row r="588" spans="11:11" x14ac:dyDescent="0.2">
      <c r="K588" s="22"/>
    </row>
    <row r="589" spans="11:11" x14ac:dyDescent="0.2">
      <c r="K589" s="22"/>
    </row>
    <row r="590" spans="11:11" x14ac:dyDescent="0.2">
      <c r="K590" s="22"/>
    </row>
    <row r="591" spans="11:11" x14ac:dyDescent="0.2">
      <c r="K591" s="22"/>
    </row>
    <row r="592" spans="11:11" x14ac:dyDescent="0.2">
      <c r="K592" s="22"/>
    </row>
    <row r="593" spans="11:11" x14ac:dyDescent="0.2">
      <c r="K593" s="22"/>
    </row>
    <row r="594" spans="11:11" x14ac:dyDescent="0.2">
      <c r="K594" s="22"/>
    </row>
    <row r="595" spans="11:11" x14ac:dyDescent="0.2">
      <c r="K595" s="22"/>
    </row>
    <row r="596" spans="11:11" x14ac:dyDescent="0.2">
      <c r="K596" s="22"/>
    </row>
    <row r="597" spans="11:11" x14ac:dyDescent="0.2">
      <c r="K597" s="22"/>
    </row>
    <row r="598" spans="11:11" x14ac:dyDescent="0.2">
      <c r="K598" s="22"/>
    </row>
    <row r="599" spans="11:11" x14ac:dyDescent="0.2">
      <c r="K599" s="22"/>
    </row>
    <row r="600" spans="11:11" x14ac:dyDescent="0.2">
      <c r="K600" s="22"/>
    </row>
    <row r="601" spans="11:11" x14ac:dyDescent="0.2">
      <c r="K601" s="22"/>
    </row>
    <row r="602" spans="11:11" x14ac:dyDescent="0.2">
      <c r="K602" s="22"/>
    </row>
    <row r="603" spans="11:11" x14ac:dyDescent="0.2">
      <c r="K603" s="22"/>
    </row>
    <row r="604" spans="11:11" x14ac:dyDescent="0.2">
      <c r="K604" s="22"/>
    </row>
    <row r="605" spans="11:11" x14ac:dyDescent="0.2">
      <c r="K605" s="22"/>
    </row>
    <row r="606" spans="11:11" x14ac:dyDescent="0.2">
      <c r="K606" s="22"/>
    </row>
    <row r="607" spans="11:11" x14ac:dyDescent="0.2">
      <c r="K607" s="22"/>
    </row>
    <row r="608" spans="11:11" x14ac:dyDescent="0.2">
      <c r="K608" s="22"/>
    </row>
    <row r="609" spans="11:11" x14ac:dyDescent="0.2">
      <c r="K609" s="22"/>
    </row>
    <row r="610" spans="11:11" x14ac:dyDescent="0.2">
      <c r="K610" s="22"/>
    </row>
    <row r="611" spans="11:11" x14ac:dyDescent="0.2">
      <c r="K611" s="22"/>
    </row>
    <row r="612" spans="11:11" x14ac:dyDescent="0.2">
      <c r="K612" s="22"/>
    </row>
    <row r="613" spans="11:11" x14ac:dyDescent="0.2">
      <c r="K613" s="22"/>
    </row>
    <row r="614" spans="11:11" x14ac:dyDescent="0.2">
      <c r="K614" s="22"/>
    </row>
    <row r="615" spans="11:11" x14ac:dyDescent="0.2">
      <c r="K615" s="22"/>
    </row>
    <row r="616" spans="11:11" x14ac:dyDescent="0.2">
      <c r="K616" s="22"/>
    </row>
    <row r="617" spans="11:11" x14ac:dyDescent="0.2">
      <c r="K617" s="22"/>
    </row>
    <row r="618" spans="11:11" x14ac:dyDescent="0.2">
      <c r="K618" s="22"/>
    </row>
    <row r="619" spans="11:11" x14ac:dyDescent="0.2">
      <c r="K619" s="22"/>
    </row>
    <row r="620" spans="11:11" x14ac:dyDescent="0.2">
      <c r="K620" s="22"/>
    </row>
    <row r="621" spans="11:11" x14ac:dyDescent="0.2">
      <c r="K621" s="22"/>
    </row>
    <row r="622" spans="11:11" x14ac:dyDescent="0.2">
      <c r="K622" s="22"/>
    </row>
    <row r="623" spans="11:11" x14ac:dyDescent="0.2">
      <c r="K623" s="22"/>
    </row>
    <row r="624" spans="11:11" x14ac:dyDescent="0.2">
      <c r="K624" s="22"/>
    </row>
    <row r="625" spans="11:11" x14ac:dyDescent="0.2">
      <c r="K625" s="22"/>
    </row>
    <row r="626" spans="11:11" x14ac:dyDescent="0.2">
      <c r="K626" s="22"/>
    </row>
    <row r="627" spans="11:11" x14ac:dyDescent="0.2">
      <c r="K627" s="22"/>
    </row>
    <row r="628" spans="11:11" x14ac:dyDescent="0.2">
      <c r="K628" s="22"/>
    </row>
    <row r="629" spans="11:11" x14ac:dyDescent="0.2">
      <c r="K629" s="22"/>
    </row>
    <row r="630" spans="11:11" x14ac:dyDescent="0.2">
      <c r="K630" s="22"/>
    </row>
    <row r="631" spans="11:11" x14ac:dyDescent="0.2">
      <c r="K631" s="22"/>
    </row>
    <row r="632" spans="11:11" x14ac:dyDescent="0.2">
      <c r="K632" s="22"/>
    </row>
    <row r="633" spans="11:11" x14ac:dyDescent="0.2">
      <c r="K633" s="22"/>
    </row>
    <row r="634" spans="11:11" x14ac:dyDescent="0.2">
      <c r="K634" s="22"/>
    </row>
    <row r="635" spans="11:11" x14ac:dyDescent="0.2">
      <c r="K635" s="22"/>
    </row>
    <row r="636" spans="11:11" x14ac:dyDescent="0.2">
      <c r="K636" s="22"/>
    </row>
    <row r="637" spans="11:11" x14ac:dyDescent="0.2">
      <c r="K637" s="22"/>
    </row>
    <row r="638" spans="11:11" x14ac:dyDescent="0.2">
      <c r="K638" s="22"/>
    </row>
    <row r="639" spans="11:11" x14ac:dyDescent="0.2">
      <c r="K639" s="22"/>
    </row>
    <row r="640" spans="11:11" x14ac:dyDescent="0.2">
      <c r="K640" s="22"/>
    </row>
    <row r="641" spans="11:11" x14ac:dyDescent="0.2">
      <c r="K641" s="22"/>
    </row>
    <row r="642" spans="11:11" x14ac:dyDescent="0.2">
      <c r="K642" s="22"/>
    </row>
    <row r="643" spans="11:11" x14ac:dyDescent="0.2">
      <c r="K643" s="22"/>
    </row>
    <row r="644" spans="11:11" x14ac:dyDescent="0.2">
      <c r="K644" s="22"/>
    </row>
    <row r="645" spans="11:11" x14ac:dyDescent="0.2">
      <c r="K645" s="22"/>
    </row>
    <row r="646" spans="11:11" x14ac:dyDescent="0.2">
      <c r="K646" s="22"/>
    </row>
    <row r="647" spans="11:11" x14ac:dyDescent="0.2">
      <c r="K647" s="22"/>
    </row>
    <row r="648" spans="11:11" x14ac:dyDescent="0.2">
      <c r="K648" s="22"/>
    </row>
    <row r="649" spans="11:11" x14ac:dyDescent="0.2">
      <c r="K649" s="22"/>
    </row>
    <row r="650" spans="11:11" x14ac:dyDescent="0.2">
      <c r="K650" s="22"/>
    </row>
    <row r="651" spans="11:11" x14ac:dyDescent="0.2">
      <c r="K651" s="22"/>
    </row>
    <row r="652" spans="11:11" x14ac:dyDescent="0.2">
      <c r="K652" s="22"/>
    </row>
    <row r="653" spans="11:11" x14ac:dyDescent="0.2">
      <c r="K653" s="22"/>
    </row>
    <row r="654" spans="11:11" x14ac:dyDescent="0.2">
      <c r="K654" s="22"/>
    </row>
    <row r="655" spans="11:11" x14ac:dyDescent="0.2">
      <c r="K655" s="22"/>
    </row>
    <row r="656" spans="11:11" x14ac:dyDescent="0.2">
      <c r="K656" s="22"/>
    </row>
    <row r="657" spans="11:11" x14ac:dyDescent="0.2">
      <c r="K657" s="22"/>
    </row>
    <row r="658" spans="11:11" x14ac:dyDescent="0.2">
      <c r="K658" s="22"/>
    </row>
    <row r="659" spans="11:11" x14ac:dyDescent="0.2">
      <c r="K659" s="22"/>
    </row>
    <row r="660" spans="11:11" x14ac:dyDescent="0.2">
      <c r="K660" s="22"/>
    </row>
    <row r="661" spans="11:11" x14ac:dyDescent="0.2">
      <c r="K661" s="22"/>
    </row>
    <row r="662" spans="11:11" x14ac:dyDescent="0.2">
      <c r="K662" s="22"/>
    </row>
    <row r="663" spans="11:11" x14ac:dyDescent="0.2">
      <c r="K663" s="22"/>
    </row>
    <row r="664" spans="11:11" x14ac:dyDescent="0.2">
      <c r="K664" s="22"/>
    </row>
    <row r="665" spans="11:11" x14ac:dyDescent="0.2">
      <c r="K665" s="22"/>
    </row>
    <row r="666" spans="11:11" x14ac:dyDescent="0.2">
      <c r="K666" s="22"/>
    </row>
    <row r="667" spans="11:11" x14ac:dyDescent="0.2">
      <c r="K667" s="22"/>
    </row>
    <row r="668" spans="11:11" x14ac:dyDescent="0.2">
      <c r="K668" s="22"/>
    </row>
    <row r="669" spans="11:11" x14ac:dyDescent="0.2">
      <c r="K669" s="22"/>
    </row>
    <row r="670" spans="11:11" x14ac:dyDescent="0.2">
      <c r="K670" s="22"/>
    </row>
    <row r="671" spans="11:11" x14ac:dyDescent="0.2">
      <c r="K671" s="22"/>
    </row>
    <row r="672" spans="11:11" x14ac:dyDescent="0.2">
      <c r="K672" s="22"/>
    </row>
    <row r="673" spans="11:11" x14ac:dyDescent="0.2">
      <c r="K673" s="22"/>
    </row>
    <row r="674" spans="11:11" x14ac:dyDescent="0.2">
      <c r="K674" s="22"/>
    </row>
    <row r="675" spans="11:11" x14ac:dyDescent="0.2">
      <c r="K675" s="22"/>
    </row>
    <row r="676" spans="11:11" x14ac:dyDescent="0.2">
      <c r="K676" s="22"/>
    </row>
    <row r="677" spans="11:11" x14ac:dyDescent="0.2">
      <c r="K677" s="22"/>
    </row>
    <row r="678" spans="11:11" x14ac:dyDescent="0.2">
      <c r="K678" s="22"/>
    </row>
    <row r="679" spans="11:11" x14ac:dyDescent="0.2">
      <c r="K679" s="22"/>
    </row>
    <row r="680" spans="11:11" x14ac:dyDescent="0.2">
      <c r="K680" s="22"/>
    </row>
    <row r="681" spans="11:11" x14ac:dyDescent="0.2">
      <c r="K681" s="22"/>
    </row>
    <row r="682" spans="11:11" x14ac:dyDescent="0.2">
      <c r="K682" s="22"/>
    </row>
    <row r="683" spans="11:11" x14ac:dyDescent="0.2">
      <c r="K683" s="22"/>
    </row>
    <row r="684" spans="11:11" x14ac:dyDescent="0.2">
      <c r="K684" s="22"/>
    </row>
    <row r="685" spans="11:11" x14ac:dyDescent="0.2">
      <c r="K685" s="22"/>
    </row>
    <row r="686" spans="11:11" x14ac:dyDescent="0.2">
      <c r="K686" s="22"/>
    </row>
    <row r="687" spans="11:11" x14ac:dyDescent="0.2">
      <c r="K687" s="22"/>
    </row>
    <row r="688" spans="11:11" x14ac:dyDescent="0.2">
      <c r="K688" s="22"/>
    </row>
    <row r="689" spans="11:11" x14ac:dyDescent="0.2">
      <c r="K689" s="22"/>
    </row>
    <row r="690" spans="11:11" x14ac:dyDescent="0.2">
      <c r="K690" s="22"/>
    </row>
    <row r="691" spans="11:11" x14ac:dyDescent="0.2">
      <c r="K691" s="22"/>
    </row>
    <row r="692" spans="11:11" x14ac:dyDescent="0.2">
      <c r="K692" s="22"/>
    </row>
    <row r="693" spans="11:11" x14ac:dyDescent="0.2">
      <c r="K693" s="22"/>
    </row>
    <row r="694" spans="11:11" x14ac:dyDescent="0.2">
      <c r="K694" s="22"/>
    </row>
    <row r="695" spans="11:11" x14ac:dyDescent="0.2">
      <c r="K695" s="22"/>
    </row>
    <row r="696" spans="11:11" x14ac:dyDescent="0.2">
      <c r="K696" s="22"/>
    </row>
    <row r="697" spans="11:11" x14ac:dyDescent="0.2">
      <c r="K697" s="22"/>
    </row>
    <row r="698" spans="11:11" x14ac:dyDescent="0.2">
      <c r="K698" s="22"/>
    </row>
    <row r="699" spans="11:11" x14ac:dyDescent="0.2">
      <c r="K699" s="22"/>
    </row>
    <row r="700" spans="11:11" x14ac:dyDescent="0.2">
      <c r="K700" s="22"/>
    </row>
    <row r="701" spans="11:11" x14ac:dyDescent="0.2">
      <c r="K701" s="22"/>
    </row>
    <row r="702" spans="11:11" x14ac:dyDescent="0.2">
      <c r="K702" s="22"/>
    </row>
    <row r="703" spans="11:11" x14ac:dyDescent="0.2">
      <c r="K703" s="22"/>
    </row>
    <row r="704" spans="11:11" x14ac:dyDescent="0.2">
      <c r="K704" s="22"/>
    </row>
    <row r="705" spans="11:11" x14ac:dyDescent="0.2">
      <c r="K705" s="22"/>
    </row>
    <row r="706" spans="11:11" x14ac:dyDescent="0.2">
      <c r="K706" s="22"/>
    </row>
    <row r="707" spans="11:11" x14ac:dyDescent="0.2">
      <c r="K707" s="22"/>
    </row>
    <row r="708" spans="11:11" x14ac:dyDescent="0.2">
      <c r="K708" s="22"/>
    </row>
    <row r="709" spans="11:11" x14ac:dyDescent="0.2">
      <c r="K709" s="22"/>
    </row>
    <row r="710" spans="11:11" x14ac:dyDescent="0.2">
      <c r="K710" s="22"/>
    </row>
    <row r="711" spans="11:11" x14ac:dyDescent="0.2">
      <c r="K711" s="22"/>
    </row>
    <row r="712" spans="11:11" x14ac:dyDescent="0.2">
      <c r="K712" s="22"/>
    </row>
    <row r="713" spans="11:11" x14ac:dyDescent="0.2">
      <c r="K713" s="22"/>
    </row>
    <row r="714" spans="11:11" x14ac:dyDescent="0.2">
      <c r="K714" s="22"/>
    </row>
    <row r="715" spans="11:11" x14ac:dyDescent="0.2">
      <c r="K715" s="22"/>
    </row>
    <row r="716" spans="11:11" x14ac:dyDescent="0.2">
      <c r="K716" s="22"/>
    </row>
    <row r="717" spans="11:11" x14ac:dyDescent="0.2">
      <c r="K717" s="22"/>
    </row>
    <row r="718" spans="11:11" x14ac:dyDescent="0.2">
      <c r="K718" s="22"/>
    </row>
    <row r="719" spans="11:11" x14ac:dyDescent="0.2">
      <c r="K719" s="22"/>
    </row>
    <row r="720" spans="11:11" x14ac:dyDescent="0.2">
      <c r="K720" s="22"/>
    </row>
    <row r="721" spans="11:11" x14ac:dyDescent="0.2">
      <c r="K721" s="22"/>
    </row>
    <row r="722" spans="11:11" x14ac:dyDescent="0.2">
      <c r="K722" s="22"/>
    </row>
    <row r="723" spans="11:11" x14ac:dyDescent="0.2">
      <c r="K723" s="22"/>
    </row>
    <row r="724" spans="11:11" x14ac:dyDescent="0.2">
      <c r="K724" s="22"/>
    </row>
    <row r="725" spans="11:11" x14ac:dyDescent="0.2">
      <c r="K725" s="22"/>
    </row>
    <row r="726" spans="11:11" x14ac:dyDescent="0.2">
      <c r="K726" s="22"/>
    </row>
    <row r="727" spans="11:11" x14ac:dyDescent="0.2">
      <c r="K727" s="22"/>
    </row>
    <row r="728" spans="11:11" x14ac:dyDescent="0.2">
      <c r="K728" s="22"/>
    </row>
    <row r="729" spans="11:11" x14ac:dyDescent="0.2">
      <c r="K729" s="22"/>
    </row>
    <row r="730" spans="11:11" x14ac:dyDescent="0.2">
      <c r="K730" s="22"/>
    </row>
    <row r="731" spans="11:11" x14ac:dyDescent="0.2">
      <c r="K731" s="22"/>
    </row>
    <row r="732" spans="11:11" x14ac:dyDescent="0.2">
      <c r="K732" s="22"/>
    </row>
    <row r="733" spans="11:11" x14ac:dyDescent="0.2">
      <c r="K733" s="22"/>
    </row>
    <row r="734" spans="11:11" x14ac:dyDescent="0.2">
      <c r="K734" s="22"/>
    </row>
    <row r="735" spans="11:11" x14ac:dyDescent="0.2">
      <c r="K735" s="22"/>
    </row>
    <row r="736" spans="11:11" x14ac:dyDescent="0.2">
      <c r="K736" s="22"/>
    </row>
    <row r="737" spans="11:11" x14ac:dyDescent="0.2">
      <c r="K737" s="22"/>
    </row>
    <row r="738" spans="11:11" x14ac:dyDescent="0.2">
      <c r="K738" s="22"/>
    </row>
    <row r="739" spans="11:11" x14ac:dyDescent="0.2">
      <c r="K739" s="22"/>
    </row>
    <row r="740" spans="11:11" x14ac:dyDescent="0.2">
      <c r="K740" s="22"/>
    </row>
    <row r="741" spans="11:11" x14ac:dyDescent="0.2">
      <c r="K741" s="22"/>
    </row>
    <row r="742" spans="11:11" x14ac:dyDescent="0.2">
      <c r="K742" s="22"/>
    </row>
    <row r="743" spans="11:11" x14ac:dyDescent="0.2">
      <c r="K743" s="22"/>
    </row>
    <row r="744" spans="11:11" x14ac:dyDescent="0.2">
      <c r="K744" s="22"/>
    </row>
    <row r="745" spans="11:11" x14ac:dyDescent="0.2">
      <c r="K745" s="22"/>
    </row>
    <row r="746" spans="11:11" x14ac:dyDescent="0.2">
      <c r="K746" s="22"/>
    </row>
    <row r="747" spans="11:11" x14ac:dyDescent="0.2">
      <c r="K747" s="22"/>
    </row>
    <row r="748" spans="11:11" x14ac:dyDescent="0.2">
      <c r="K748" s="22"/>
    </row>
    <row r="749" spans="11:11" x14ac:dyDescent="0.2">
      <c r="K749" s="22"/>
    </row>
    <row r="750" spans="11:11" x14ac:dyDescent="0.2">
      <c r="K750" s="22"/>
    </row>
    <row r="751" spans="11:11" x14ac:dyDescent="0.2">
      <c r="K751" s="22"/>
    </row>
    <row r="752" spans="11:11" x14ac:dyDescent="0.2">
      <c r="K752" s="22"/>
    </row>
    <row r="753" spans="11:11" x14ac:dyDescent="0.2">
      <c r="K753" s="22"/>
    </row>
    <row r="754" spans="11:11" x14ac:dyDescent="0.2">
      <c r="K754" s="22"/>
    </row>
    <row r="755" spans="11:11" x14ac:dyDescent="0.2">
      <c r="K755" s="22"/>
    </row>
    <row r="756" spans="11:11" x14ac:dyDescent="0.2">
      <c r="K756" s="22"/>
    </row>
    <row r="757" spans="11:11" x14ac:dyDescent="0.2">
      <c r="K757" s="22"/>
    </row>
    <row r="758" spans="11:11" x14ac:dyDescent="0.2">
      <c r="K758" s="22"/>
    </row>
    <row r="759" spans="11:11" x14ac:dyDescent="0.2">
      <c r="K759" s="22"/>
    </row>
    <row r="760" spans="11:11" x14ac:dyDescent="0.2">
      <c r="K760" s="22"/>
    </row>
    <row r="761" spans="11:11" x14ac:dyDescent="0.2">
      <c r="K761" s="22"/>
    </row>
    <row r="762" spans="11:11" x14ac:dyDescent="0.2">
      <c r="K762" s="22"/>
    </row>
    <row r="763" spans="11:11" x14ac:dyDescent="0.2">
      <c r="K763" s="22"/>
    </row>
    <row r="764" spans="11:11" x14ac:dyDescent="0.2">
      <c r="K764" s="22"/>
    </row>
    <row r="765" spans="11:11" x14ac:dyDescent="0.2">
      <c r="K765" s="22"/>
    </row>
    <row r="766" spans="11:11" x14ac:dyDescent="0.2">
      <c r="K766" s="22"/>
    </row>
    <row r="767" spans="11:11" x14ac:dyDescent="0.2">
      <c r="K767" s="22"/>
    </row>
    <row r="768" spans="11:11" x14ac:dyDescent="0.2">
      <c r="K768" s="22"/>
    </row>
    <row r="769" spans="11:11" x14ac:dyDescent="0.2">
      <c r="K769" s="22"/>
    </row>
    <row r="770" spans="11:11" x14ac:dyDescent="0.2">
      <c r="K770" s="22"/>
    </row>
    <row r="771" spans="11:11" x14ac:dyDescent="0.2">
      <c r="K771" s="22"/>
    </row>
    <row r="772" spans="11:11" x14ac:dyDescent="0.2">
      <c r="K772" s="22"/>
    </row>
    <row r="773" spans="11:11" x14ac:dyDescent="0.2">
      <c r="K773" s="22"/>
    </row>
    <row r="774" spans="11:11" x14ac:dyDescent="0.2">
      <c r="K774" s="22"/>
    </row>
    <row r="775" spans="11:11" x14ac:dyDescent="0.2">
      <c r="K775" s="22"/>
    </row>
    <row r="776" spans="11:11" x14ac:dyDescent="0.2">
      <c r="K776" s="22"/>
    </row>
    <row r="777" spans="11:11" x14ac:dyDescent="0.2">
      <c r="K777" s="22"/>
    </row>
    <row r="778" spans="11:11" x14ac:dyDescent="0.2">
      <c r="K778" s="22"/>
    </row>
    <row r="779" spans="11:11" x14ac:dyDescent="0.2">
      <c r="K779" s="22"/>
    </row>
    <row r="780" spans="11:11" x14ac:dyDescent="0.2">
      <c r="K780" s="22"/>
    </row>
    <row r="781" spans="11:11" x14ac:dyDescent="0.2">
      <c r="K781" s="22"/>
    </row>
    <row r="782" spans="11:11" x14ac:dyDescent="0.2">
      <c r="K782" s="22"/>
    </row>
    <row r="783" spans="11:11" x14ac:dyDescent="0.2">
      <c r="K783" s="22"/>
    </row>
    <row r="784" spans="11:11" x14ac:dyDescent="0.2">
      <c r="K784" s="22"/>
    </row>
    <row r="785" spans="11:11" x14ac:dyDescent="0.2">
      <c r="K785" s="22"/>
    </row>
    <row r="786" spans="11:11" x14ac:dyDescent="0.2">
      <c r="K786" s="22"/>
    </row>
    <row r="787" spans="11:11" x14ac:dyDescent="0.2">
      <c r="K787" s="22"/>
    </row>
    <row r="788" spans="11:11" x14ac:dyDescent="0.2">
      <c r="K788" s="22"/>
    </row>
    <row r="789" spans="11:11" x14ac:dyDescent="0.2">
      <c r="K789" s="22"/>
    </row>
    <row r="790" spans="11:11" x14ac:dyDescent="0.2">
      <c r="K790" s="22"/>
    </row>
    <row r="791" spans="11:11" x14ac:dyDescent="0.2">
      <c r="K791" s="22"/>
    </row>
    <row r="792" spans="11:11" x14ac:dyDescent="0.2">
      <c r="K792" s="22"/>
    </row>
    <row r="793" spans="11:11" x14ac:dyDescent="0.2">
      <c r="K793" s="22"/>
    </row>
    <row r="794" spans="11:11" x14ac:dyDescent="0.2">
      <c r="K794" s="22"/>
    </row>
    <row r="795" spans="11:11" x14ac:dyDescent="0.2">
      <c r="K795" s="22"/>
    </row>
    <row r="796" spans="11:11" x14ac:dyDescent="0.2">
      <c r="K796" s="22"/>
    </row>
    <row r="797" spans="11:11" x14ac:dyDescent="0.2">
      <c r="K797" s="22"/>
    </row>
    <row r="798" spans="11:11" x14ac:dyDescent="0.2">
      <c r="K798" s="22"/>
    </row>
    <row r="799" spans="11:11" x14ac:dyDescent="0.2">
      <c r="K799" s="22"/>
    </row>
    <row r="800" spans="11:11" x14ac:dyDescent="0.2">
      <c r="K800" s="22"/>
    </row>
    <row r="801" spans="11:11" x14ac:dyDescent="0.2">
      <c r="K801" s="22"/>
    </row>
    <row r="802" spans="11:11" x14ac:dyDescent="0.2">
      <c r="K802" s="22"/>
    </row>
    <row r="803" spans="11:11" x14ac:dyDescent="0.2">
      <c r="K803" s="22"/>
    </row>
    <row r="804" spans="11:11" x14ac:dyDescent="0.2">
      <c r="K804" s="22"/>
    </row>
    <row r="805" spans="11:11" x14ac:dyDescent="0.2">
      <c r="K805" s="22"/>
    </row>
    <row r="806" spans="11:11" x14ac:dyDescent="0.2">
      <c r="K806" s="22"/>
    </row>
    <row r="807" spans="11:11" x14ac:dyDescent="0.2">
      <c r="K807" s="22"/>
    </row>
    <row r="808" spans="11:11" x14ac:dyDescent="0.2">
      <c r="K808" s="22"/>
    </row>
    <row r="809" spans="11:11" x14ac:dyDescent="0.2">
      <c r="K809" s="22"/>
    </row>
    <row r="810" spans="11:11" x14ac:dyDescent="0.2">
      <c r="K810" s="22"/>
    </row>
    <row r="811" spans="11:11" x14ac:dyDescent="0.2">
      <c r="K811" s="22"/>
    </row>
    <row r="812" spans="11:11" x14ac:dyDescent="0.2">
      <c r="K812" s="22"/>
    </row>
    <row r="813" spans="11:11" x14ac:dyDescent="0.2">
      <c r="K813" s="22"/>
    </row>
    <row r="814" spans="11:11" x14ac:dyDescent="0.2">
      <c r="K814" s="22"/>
    </row>
    <row r="815" spans="11:11" x14ac:dyDescent="0.2">
      <c r="K815" s="22"/>
    </row>
    <row r="816" spans="11:11" x14ac:dyDescent="0.2">
      <c r="K816" s="22"/>
    </row>
    <row r="817" spans="11:11" x14ac:dyDescent="0.2">
      <c r="K817" s="22"/>
    </row>
    <row r="818" spans="11:11" x14ac:dyDescent="0.2">
      <c r="K818" s="22"/>
    </row>
    <row r="819" spans="11:11" x14ac:dyDescent="0.2">
      <c r="K819" s="22"/>
    </row>
    <row r="820" spans="11:11" x14ac:dyDescent="0.2">
      <c r="K820" s="22"/>
    </row>
    <row r="821" spans="11:11" x14ac:dyDescent="0.2">
      <c r="K821" s="22"/>
    </row>
    <row r="822" spans="11:11" x14ac:dyDescent="0.2">
      <c r="K822" s="22"/>
    </row>
    <row r="823" spans="11:11" x14ac:dyDescent="0.2">
      <c r="K823" s="22"/>
    </row>
    <row r="824" spans="11:11" x14ac:dyDescent="0.2">
      <c r="K824" s="22"/>
    </row>
    <row r="825" spans="11:11" x14ac:dyDescent="0.2">
      <c r="K825" s="22"/>
    </row>
    <row r="826" spans="11:11" x14ac:dyDescent="0.2">
      <c r="K826" s="22"/>
    </row>
    <row r="827" spans="11:11" x14ac:dyDescent="0.2">
      <c r="K827" s="22"/>
    </row>
    <row r="828" spans="11:11" x14ac:dyDescent="0.2">
      <c r="K828" s="22"/>
    </row>
    <row r="829" spans="11:11" x14ac:dyDescent="0.2">
      <c r="K829" s="22"/>
    </row>
    <row r="830" spans="11:11" x14ac:dyDescent="0.2">
      <c r="K830" s="22"/>
    </row>
    <row r="831" spans="11:11" x14ac:dyDescent="0.2">
      <c r="K831" s="22"/>
    </row>
    <row r="832" spans="11:11" x14ac:dyDescent="0.2">
      <c r="K832" s="22"/>
    </row>
    <row r="833" spans="11:11" x14ac:dyDescent="0.2">
      <c r="K833" s="22"/>
    </row>
    <row r="834" spans="11:11" x14ac:dyDescent="0.2">
      <c r="K834" s="22"/>
    </row>
    <row r="835" spans="11:11" x14ac:dyDescent="0.2">
      <c r="K835" s="22"/>
    </row>
    <row r="836" spans="11:11" x14ac:dyDescent="0.2">
      <c r="K836" s="22"/>
    </row>
    <row r="837" spans="11:11" x14ac:dyDescent="0.2">
      <c r="K837" s="22"/>
    </row>
    <row r="838" spans="11:11" x14ac:dyDescent="0.2">
      <c r="K838" s="22"/>
    </row>
    <row r="839" spans="11:11" x14ac:dyDescent="0.2">
      <c r="K839" s="22"/>
    </row>
    <row r="840" spans="11:11" x14ac:dyDescent="0.2">
      <c r="K840" s="22"/>
    </row>
    <row r="841" spans="11:11" x14ac:dyDescent="0.2">
      <c r="K841" s="22"/>
    </row>
    <row r="842" spans="11:11" x14ac:dyDescent="0.2">
      <c r="K842" s="22"/>
    </row>
    <row r="843" spans="11:11" x14ac:dyDescent="0.2">
      <c r="K843" s="22"/>
    </row>
    <row r="844" spans="11:11" x14ac:dyDescent="0.2">
      <c r="K844" s="22"/>
    </row>
    <row r="845" spans="11:11" x14ac:dyDescent="0.2">
      <c r="K845" s="22"/>
    </row>
    <row r="846" spans="11:11" x14ac:dyDescent="0.2">
      <c r="K846" s="22"/>
    </row>
    <row r="847" spans="11:11" x14ac:dyDescent="0.2">
      <c r="K847" s="22"/>
    </row>
    <row r="848" spans="11:11" x14ac:dyDescent="0.2">
      <c r="K848" s="22"/>
    </row>
    <row r="849" spans="11:11" x14ac:dyDescent="0.2">
      <c r="K849" s="22"/>
    </row>
    <row r="850" spans="11:11" x14ac:dyDescent="0.2">
      <c r="K850" s="22"/>
    </row>
    <row r="851" spans="11:11" x14ac:dyDescent="0.2">
      <c r="K851" s="22"/>
    </row>
    <row r="852" spans="11:11" x14ac:dyDescent="0.2">
      <c r="K852" s="22"/>
    </row>
    <row r="853" spans="11:11" x14ac:dyDescent="0.2">
      <c r="K853" s="22"/>
    </row>
    <row r="854" spans="11:11" x14ac:dyDescent="0.2">
      <c r="K854" s="22"/>
    </row>
    <row r="855" spans="11:11" x14ac:dyDescent="0.2">
      <c r="K855" s="22"/>
    </row>
    <row r="856" spans="11:11" x14ac:dyDescent="0.2">
      <c r="K856" s="22"/>
    </row>
    <row r="857" spans="11:11" x14ac:dyDescent="0.2">
      <c r="K857" s="22"/>
    </row>
    <row r="858" spans="11:11" x14ac:dyDescent="0.2">
      <c r="K858" s="22"/>
    </row>
    <row r="859" spans="11:11" x14ac:dyDescent="0.2">
      <c r="K859" s="22"/>
    </row>
    <row r="860" spans="11:11" x14ac:dyDescent="0.2">
      <c r="K860" s="22"/>
    </row>
    <row r="861" spans="11:11" x14ac:dyDescent="0.2">
      <c r="K861" s="22"/>
    </row>
    <row r="862" spans="11:11" x14ac:dyDescent="0.2">
      <c r="K862" s="22"/>
    </row>
    <row r="863" spans="11:11" x14ac:dyDescent="0.2">
      <c r="K863" s="22"/>
    </row>
    <row r="864" spans="11:11" x14ac:dyDescent="0.2">
      <c r="K864" s="22"/>
    </row>
    <row r="865" spans="11:11" x14ac:dyDescent="0.2">
      <c r="K865" s="22"/>
    </row>
    <row r="866" spans="11:11" x14ac:dyDescent="0.2">
      <c r="K866" s="22"/>
    </row>
    <row r="867" spans="11:11" x14ac:dyDescent="0.2">
      <c r="K867" s="22"/>
    </row>
    <row r="868" spans="11:11" x14ac:dyDescent="0.2">
      <c r="K868" s="22"/>
    </row>
    <row r="869" spans="11:11" x14ac:dyDescent="0.2">
      <c r="K869" s="22"/>
    </row>
    <row r="870" spans="11:11" x14ac:dyDescent="0.2">
      <c r="K870" s="22"/>
    </row>
    <row r="871" spans="11:11" x14ac:dyDescent="0.2">
      <c r="K871" s="22"/>
    </row>
    <row r="872" spans="11:11" x14ac:dyDescent="0.2">
      <c r="K872" s="22"/>
    </row>
    <row r="873" spans="11:11" x14ac:dyDescent="0.2">
      <c r="K873" s="22"/>
    </row>
    <row r="874" spans="11:11" x14ac:dyDescent="0.2">
      <c r="K874" s="22"/>
    </row>
    <row r="875" spans="11:11" x14ac:dyDescent="0.2">
      <c r="K875" s="22"/>
    </row>
    <row r="876" spans="11:11" x14ac:dyDescent="0.2">
      <c r="K876" s="22"/>
    </row>
    <row r="877" spans="11:11" x14ac:dyDescent="0.2">
      <c r="K877" s="22"/>
    </row>
    <row r="878" spans="11:11" x14ac:dyDescent="0.2">
      <c r="K878" s="22"/>
    </row>
    <row r="879" spans="11:11" x14ac:dyDescent="0.2">
      <c r="K879" s="22"/>
    </row>
    <row r="880" spans="11:11" x14ac:dyDescent="0.2">
      <c r="K880" s="22"/>
    </row>
    <row r="881" spans="11:11" x14ac:dyDescent="0.2">
      <c r="K881" s="22"/>
    </row>
    <row r="882" spans="11:11" x14ac:dyDescent="0.2">
      <c r="K882" s="22"/>
    </row>
    <row r="883" spans="11:11" x14ac:dyDescent="0.2">
      <c r="K883" s="22"/>
    </row>
    <row r="884" spans="11:11" x14ac:dyDescent="0.2">
      <c r="K884" s="22"/>
    </row>
    <row r="885" spans="11:11" x14ac:dyDescent="0.2">
      <c r="K885" s="22"/>
    </row>
    <row r="886" spans="11:11" x14ac:dyDescent="0.2">
      <c r="K886" s="22"/>
    </row>
    <row r="887" spans="11:11" x14ac:dyDescent="0.2">
      <c r="K887" s="22"/>
    </row>
    <row r="888" spans="11:11" x14ac:dyDescent="0.2">
      <c r="K888" s="22"/>
    </row>
    <row r="889" spans="11:11" x14ac:dyDescent="0.2">
      <c r="K889" s="22"/>
    </row>
    <row r="890" spans="11:11" x14ac:dyDescent="0.2">
      <c r="K890" s="22"/>
    </row>
    <row r="891" spans="11:11" x14ac:dyDescent="0.2">
      <c r="K891" s="22"/>
    </row>
    <row r="892" spans="11:11" x14ac:dyDescent="0.2">
      <c r="K892" s="22"/>
    </row>
    <row r="893" spans="11:11" x14ac:dyDescent="0.2">
      <c r="K893" s="22"/>
    </row>
    <row r="894" spans="11:11" x14ac:dyDescent="0.2">
      <c r="K894" s="22"/>
    </row>
    <row r="895" spans="11:11" x14ac:dyDescent="0.2">
      <c r="K895" s="22"/>
    </row>
    <row r="896" spans="11:11" x14ac:dyDescent="0.2">
      <c r="K896" s="22"/>
    </row>
    <row r="897" spans="11:11" x14ac:dyDescent="0.2">
      <c r="K897" s="22"/>
    </row>
    <row r="898" spans="11:11" x14ac:dyDescent="0.2">
      <c r="K898" s="22"/>
    </row>
    <row r="899" spans="11:11" x14ac:dyDescent="0.2">
      <c r="K899" s="22"/>
    </row>
    <row r="900" spans="11:11" x14ac:dyDescent="0.2">
      <c r="K900" s="22"/>
    </row>
    <row r="901" spans="11:11" x14ac:dyDescent="0.2">
      <c r="K901" s="22"/>
    </row>
    <row r="902" spans="11:11" x14ac:dyDescent="0.2">
      <c r="K902" s="22"/>
    </row>
    <row r="903" spans="11:11" x14ac:dyDescent="0.2">
      <c r="K903" s="22"/>
    </row>
    <row r="904" spans="11:11" x14ac:dyDescent="0.2">
      <c r="K904" s="22"/>
    </row>
    <row r="905" spans="11:11" x14ac:dyDescent="0.2">
      <c r="K905" s="22"/>
    </row>
    <row r="906" spans="11:11" x14ac:dyDescent="0.2">
      <c r="K906" s="22"/>
    </row>
    <row r="907" spans="11:11" x14ac:dyDescent="0.2">
      <c r="K907" s="22"/>
    </row>
    <row r="908" spans="11:11" x14ac:dyDescent="0.2">
      <c r="K908" s="22"/>
    </row>
    <row r="909" spans="11:11" x14ac:dyDescent="0.2">
      <c r="K909" s="22"/>
    </row>
    <row r="910" spans="11:11" x14ac:dyDescent="0.2">
      <c r="K910" s="22"/>
    </row>
    <row r="911" spans="11:11" x14ac:dyDescent="0.2">
      <c r="K911" s="22"/>
    </row>
    <row r="912" spans="11:11" x14ac:dyDescent="0.2">
      <c r="K912" s="22"/>
    </row>
    <row r="913" spans="11:11" x14ac:dyDescent="0.2">
      <c r="K913" s="22"/>
    </row>
    <row r="914" spans="11:11" x14ac:dyDescent="0.2">
      <c r="K914" s="22"/>
    </row>
    <row r="915" spans="11:11" x14ac:dyDescent="0.2">
      <c r="K915" s="22"/>
    </row>
    <row r="916" spans="11:11" x14ac:dyDescent="0.2">
      <c r="K916" s="22"/>
    </row>
    <row r="917" spans="11:11" x14ac:dyDescent="0.2">
      <c r="K917" s="22"/>
    </row>
    <row r="918" spans="11:11" x14ac:dyDescent="0.2">
      <c r="K918" s="22"/>
    </row>
    <row r="919" spans="11:11" x14ac:dyDescent="0.2">
      <c r="K919" s="22"/>
    </row>
    <row r="920" spans="11:11" x14ac:dyDescent="0.2">
      <c r="K920" s="22"/>
    </row>
    <row r="921" spans="11:11" x14ac:dyDescent="0.2">
      <c r="K921" s="22"/>
    </row>
    <row r="922" spans="11:11" x14ac:dyDescent="0.2">
      <c r="K922" s="22"/>
    </row>
    <row r="923" spans="11:11" x14ac:dyDescent="0.2">
      <c r="K923" s="22"/>
    </row>
    <row r="924" spans="11:11" x14ac:dyDescent="0.2">
      <c r="K924" s="22"/>
    </row>
    <row r="925" spans="11:11" x14ac:dyDescent="0.2">
      <c r="K925" s="22"/>
    </row>
    <row r="926" spans="11:11" x14ac:dyDescent="0.2">
      <c r="K926" s="22"/>
    </row>
    <row r="927" spans="11:11" x14ac:dyDescent="0.2">
      <c r="K927" s="22"/>
    </row>
    <row r="928" spans="11:11" x14ac:dyDescent="0.2">
      <c r="K928" s="22"/>
    </row>
    <row r="929" spans="11:11" x14ac:dyDescent="0.2">
      <c r="K929" s="22"/>
    </row>
    <row r="930" spans="11:11" x14ac:dyDescent="0.2">
      <c r="K930" s="22"/>
    </row>
    <row r="931" spans="11:11" x14ac:dyDescent="0.2">
      <c r="K931" s="22"/>
    </row>
    <row r="932" spans="11:11" x14ac:dyDescent="0.2">
      <c r="K932" s="22"/>
    </row>
    <row r="933" spans="11:11" x14ac:dyDescent="0.2">
      <c r="K933" s="22"/>
    </row>
    <row r="934" spans="11:11" x14ac:dyDescent="0.2">
      <c r="K934" s="22"/>
    </row>
    <row r="935" spans="11:11" x14ac:dyDescent="0.2">
      <c r="K935" s="22"/>
    </row>
    <row r="936" spans="11:11" x14ac:dyDescent="0.2">
      <c r="K936" s="22"/>
    </row>
    <row r="937" spans="11:11" x14ac:dyDescent="0.2">
      <c r="K937" s="22"/>
    </row>
    <row r="938" spans="11:11" x14ac:dyDescent="0.2">
      <c r="K938" s="22"/>
    </row>
    <row r="939" spans="11:11" x14ac:dyDescent="0.2">
      <c r="K939" s="22"/>
    </row>
    <row r="940" spans="11:11" x14ac:dyDescent="0.2">
      <c r="K940" s="22"/>
    </row>
    <row r="941" spans="11:11" x14ac:dyDescent="0.2">
      <c r="K941" s="22"/>
    </row>
    <row r="942" spans="11:11" x14ac:dyDescent="0.2">
      <c r="K942" s="22"/>
    </row>
    <row r="943" spans="11:11" x14ac:dyDescent="0.2">
      <c r="K943" s="22"/>
    </row>
    <row r="944" spans="11:11" x14ac:dyDescent="0.2">
      <c r="K944" s="22"/>
    </row>
    <row r="945" spans="11:11" x14ac:dyDescent="0.2">
      <c r="K945" s="22"/>
    </row>
    <row r="946" spans="11:11" x14ac:dyDescent="0.2">
      <c r="K946" s="22"/>
    </row>
    <row r="947" spans="11:11" x14ac:dyDescent="0.2">
      <c r="K947" s="22"/>
    </row>
    <row r="948" spans="11:11" x14ac:dyDescent="0.2">
      <c r="K948" s="22"/>
    </row>
    <row r="949" spans="11:11" x14ac:dyDescent="0.2">
      <c r="K949" s="22"/>
    </row>
    <row r="950" spans="11:11" x14ac:dyDescent="0.2">
      <c r="K950" s="22"/>
    </row>
    <row r="951" spans="11:11" x14ac:dyDescent="0.2">
      <c r="K951" s="22"/>
    </row>
    <row r="952" spans="11:11" x14ac:dyDescent="0.2">
      <c r="K952" s="22"/>
    </row>
    <row r="953" spans="11:11" x14ac:dyDescent="0.2">
      <c r="K953" s="22"/>
    </row>
    <row r="954" spans="11:11" x14ac:dyDescent="0.2">
      <c r="K954" s="22"/>
    </row>
    <row r="955" spans="11:11" x14ac:dyDescent="0.2">
      <c r="K955" s="22"/>
    </row>
    <row r="956" spans="11:11" x14ac:dyDescent="0.2">
      <c r="K956" s="22"/>
    </row>
    <row r="957" spans="11:11" x14ac:dyDescent="0.2">
      <c r="K957" s="22"/>
    </row>
    <row r="958" spans="11:11" x14ac:dyDescent="0.2">
      <c r="K958" s="22"/>
    </row>
    <row r="959" spans="11:11" x14ac:dyDescent="0.2">
      <c r="K959" s="22"/>
    </row>
    <row r="960" spans="11:11" x14ac:dyDescent="0.2">
      <c r="K960" s="22"/>
    </row>
    <row r="961" spans="11:11" x14ac:dyDescent="0.2">
      <c r="K961" s="22"/>
    </row>
    <row r="962" spans="11:11" x14ac:dyDescent="0.2">
      <c r="K962" s="22"/>
    </row>
    <row r="963" spans="11:11" x14ac:dyDescent="0.2">
      <c r="K963" s="22"/>
    </row>
    <row r="964" spans="11:11" x14ac:dyDescent="0.2">
      <c r="K964" s="22"/>
    </row>
    <row r="965" spans="11:11" x14ac:dyDescent="0.2">
      <c r="K965" s="22"/>
    </row>
    <row r="966" spans="11:11" x14ac:dyDescent="0.2">
      <c r="K966" s="22"/>
    </row>
    <row r="967" spans="11:11" x14ac:dyDescent="0.2">
      <c r="K967" s="22"/>
    </row>
    <row r="968" spans="11:11" x14ac:dyDescent="0.2">
      <c r="K968" s="22"/>
    </row>
    <row r="969" spans="11:11" x14ac:dyDescent="0.2">
      <c r="K969" s="22"/>
    </row>
    <row r="970" spans="11:11" x14ac:dyDescent="0.2">
      <c r="K970" s="22"/>
    </row>
    <row r="971" spans="11:11" x14ac:dyDescent="0.2">
      <c r="K971" s="22"/>
    </row>
    <row r="972" spans="11:11" x14ac:dyDescent="0.2">
      <c r="K972" s="22"/>
    </row>
    <row r="973" spans="11:11" x14ac:dyDescent="0.2">
      <c r="K973" s="22"/>
    </row>
    <row r="974" spans="11:11" x14ac:dyDescent="0.2">
      <c r="K974" s="22"/>
    </row>
    <row r="975" spans="11:11" x14ac:dyDescent="0.2">
      <c r="K975" s="22"/>
    </row>
    <row r="976" spans="11:11" x14ac:dyDescent="0.2">
      <c r="K976" s="22"/>
    </row>
    <row r="977" spans="11:11" x14ac:dyDescent="0.2">
      <c r="K977" s="22"/>
    </row>
    <row r="978" spans="11:11" x14ac:dyDescent="0.2">
      <c r="K978" s="22"/>
    </row>
    <row r="979" spans="11:11" x14ac:dyDescent="0.2">
      <c r="K979" s="22"/>
    </row>
    <row r="980" spans="11:11" x14ac:dyDescent="0.2">
      <c r="K980" s="22"/>
    </row>
    <row r="981" spans="11:11" x14ac:dyDescent="0.2">
      <c r="K981" s="22"/>
    </row>
    <row r="982" spans="11:11" x14ac:dyDescent="0.2">
      <c r="K982" s="22"/>
    </row>
    <row r="983" spans="11:11" x14ac:dyDescent="0.2">
      <c r="K983" s="22"/>
    </row>
    <row r="984" spans="11:11" x14ac:dyDescent="0.2">
      <c r="K984" s="22"/>
    </row>
    <row r="985" spans="11:11" x14ac:dyDescent="0.2">
      <c r="K985" s="22"/>
    </row>
    <row r="986" spans="11:11" x14ac:dyDescent="0.2">
      <c r="K986" s="22"/>
    </row>
    <row r="987" spans="11:11" x14ac:dyDescent="0.2">
      <c r="K987" s="22"/>
    </row>
    <row r="988" spans="11:11" x14ac:dyDescent="0.2">
      <c r="K988" s="22"/>
    </row>
    <row r="989" spans="11:11" x14ac:dyDescent="0.2">
      <c r="K989" s="22"/>
    </row>
    <row r="990" spans="11:11" x14ac:dyDescent="0.2">
      <c r="K990" s="22"/>
    </row>
    <row r="991" spans="11:11" x14ac:dyDescent="0.2">
      <c r="K991" s="22"/>
    </row>
    <row r="992" spans="11:11" x14ac:dyDescent="0.2">
      <c r="K992" s="22"/>
    </row>
    <row r="993" spans="11:11" x14ac:dyDescent="0.2">
      <c r="K993" s="22"/>
    </row>
    <row r="994" spans="11:11" x14ac:dyDescent="0.2">
      <c r="K994" s="22"/>
    </row>
    <row r="995" spans="11:11" x14ac:dyDescent="0.2">
      <c r="K995" s="22"/>
    </row>
    <row r="996" spans="11:11" x14ac:dyDescent="0.2">
      <c r="K996" s="22"/>
    </row>
    <row r="997" spans="11:11" x14ac:dyDescent="0.2">
      <c r="K997" s="22"/>
    </row>
    <row r="998" spans="11:11" x14ac:dyDescent="0.2">
      <c r="K998" s="22"/>
    </row>
    <row r="999" spans="11:11" x14ac:dyDescent="0.2">
      <c r="K999" s="22"/>
    </row>
    <row r="1000" spans="11:11" x14ac:dyDescent="0.2">
      <c r="K1000" s="22"/>
    </row>
  </sheetData>
  <mergeCells count="18">
    <mergeCell ref="A1:J1"/>
    <mergeCell ref="L1:U1"/>
    <mergeCell ref="A14:J14"/>
    <mergeCell ref="L14:U14"/>
    <mergeCell ref="A28:J28"/>
    <mergeCell ref="C2:F2"/>
    <mergeCell ref="G2:J2"/>
    <mergeCell ref="L2:L3"/>
    <mergeCell ref="M2:M3"/>
    <mergeCell ref="N2:Q2"/>
    <mergeCell ref="R2:U2"/>
    <mergeCell ref="L48:U48"/>
    <mergeCell ref="L65:U65"/>
    <mergeCell ref="A4:J4"/>
    <mergeCell ref="A2:A3"/>
    <mergeCell ref="B2:B3"/>
    <mergeCell ref="L4:U4"/>
    <mergeCell ref="L31:U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Утильсбор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Этот-ПК</cp:lastModifiedBy>
  <dcterms:modified xsi:type="dcterms:W3CDTF">2025-11-03T08:51:24Z</dcterms:modified>
</cp:coreProperties>
</file>